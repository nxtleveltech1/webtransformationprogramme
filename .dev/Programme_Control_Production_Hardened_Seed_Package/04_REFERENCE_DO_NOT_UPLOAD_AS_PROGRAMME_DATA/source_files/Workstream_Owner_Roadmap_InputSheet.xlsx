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zaomlac-my.sharepoint.com/personal/gareth_bew_oldmutual_com/Documents/0. PRESENTATIONS/WORKSHOP/"/>
    </mc:Choice>
  </mc:AlternateContent>
  <xr:revisionPtr revIDLastSave="0" documentId="8_{65157EFF-4011-4079-BD2B-BBD46C9B1EAE}" xr6:coauthVersionLast="47" xr6:coauthVersionMax="47" xr10:uidLastSave="{00000000-0000-0000-0000-000000000000}"/>
  <bookViews>
    <workbookView xWindow="10320" yWindow="-16320" windowWidth="29040" windowHeight="15720" tabRatio="791" xr2:uid="{BF7D128F-AECE-4343-9F19-AC462F5651B3}"/>
  </bookViews>
  <sheets>
    <sheet name="Design Standards" sheetId="1" r:id="rId1"/>
    <sheet name="Design Delivery" sheetId="2" r:id="rId2"/>
    <sheet name="Content Readiness" sheetId="3" r:id="rId3"/>
    <sheet name="Feature Delivery" sheetId="4" r:id="rId4"/>
    <sheet name="Design Systems" sheetId="5" r:id="rId5"/>
    <sheet name="Execution " sheetId="6" r:id="rId6"/>
    <sheet name="Publishing" sheetId="7" r:id="rId7"/>
    <sheet name="Go-Live Readiness" sheetId="8" r:id="rId8"/>
    <sheet name=" SEO Analytics " sheetId="9" r:id="rId9"/>
    <sheet name="OMAR" sheetId="10" r:id="rId10"/>
    <sheet name="Sheet1" sheetId="15" r:id="rId11"/>
    <sheet name="Cons_List" sheetId="11" r:id="rId12"/>
    <sheet name="Piv" sheetId="12" r:id="rId13"/>
  </sheets>
  <externalReferences>
    <externalReference r:id="rId14"/>
  </externalReferences>
  <calcPr calcId="191028"/>
  <pivotCaches>
    <pivotCache cacheId="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9" i="7" l="1"/>
  <c r="H25" i="7"/>
  <c r="H26" i="7"/>
  <c r="H27" i="7"/>
  <c r="H28" i="7"/>
  <c r="H11" i="2"/>
  <c r="H36" i="2"/>
  <c r="H38" i="2"/>
  <c r="H37" i="2"/>
  <c r="H10" i="2"/>
  <c r="H9" i="2"/>
  <c r="H8" i="2"/>
  <c r="H7" i="2"/>
  <c r="H6" i="2"/>
  <c r="H5" i="2"/>
  <c r="H4" i="2"/>
  <c r="H35" i="2"/>
  <c r="H34" i="2"/>
  <c r="H30" i="2"/>
  <c r="H31" i="2"/>
  <c r="H32" i="2"/>
  <c r="H33" i="2"/>
  <c r="H17" i="2"/>
  <c r="H27" i="2"/>
  <c r="H29" i="2"/>
  <c r="H28" i="2"/>
  <c r="H26" i="2"/>
  <c r="H21" i="2"/>
  <c r="H25" i="2"/>
  <c r="J35" i="11" s="1"/>
  <c r="H24" i="2"/>
  <c r="J34" i="11" s="1"/>
  <c r="H23" i="2"/>
  <c r="J33" i="11" s="1"/>
  <c r="H22" i="2"/>
  <c r="H9" i="1"/>
  <c r="H14" i="1"/>
  <c r="H15" i="1"/>
  <c r="A169" i="11"/>
  <c r="B169" i="11"/>
  <c r="C169" i="11"/>
  <c r="D169" i="11"/>
  <c r="E169" i="11"/>
  <c r="F169" i="11"/>
  <c r="G169" i="11"/>
  <c r="H169" i="11"/>
  <c r="I169" i="11"/>
  <c r="K169" i="11"/>
  <c r="L169" i="11"/>
  <c r="M169" i="11"/>
  <c r="N169" i="11"/>
  <c r="O169" i="11"/>
  <c r="P169" i="11"/>
  <c r="A170" i="11"/>
  <c r="B170" i="11"/>
  <c r="C170" i="11"/>
  <c r="D170" i="11"/>
  <c r="E170" i="11"/>
  <c r="F170" i="11"/>
  <c r="G170" i="11"/>
  <c r="H170" i="11"/>
  <c r="I170" i="11"/>
  <c r="K170" i="11"/>
  <c r="L170" i="11"/>
  <c r="M170" i="11"/>
  <c r="N170" i="11"/>
  <c r="O170" i="11"/>
  <c r="P170" i="11"/>
  <c r="A171" i="11"/>
  <c r="B171" i="11"/>
  <c r="C171" i="11"/>
  <c r="D171" i="11"/>
  <c r="E171" i="11"/>
  <c r="F171" i="11"/>
  <c r="G171" i="11"/>
  <c r="H171" i="11"/>
  <c r="I171" i="11"/>
  <c r="K171" i="11"/>
  <c r="L171" i="11"/>
  <c r="M171" i="11"/>
  <c r="N171" i="11"/>
  <c r="O171" i="11"/>
  <c r="P171" i="11"/>
  <c r="A172" i="11"/>
  <c r="B172" i="11"/>
  <c r="C172" i="11"/>
  <c r="D172" i="11"/>
  <c r="E172" i="11"/>
  <c r="F172" i="11"/>
  <c r="G172" i="11"/>
  <c r="H172" i="11"/>
  <c r="I172" i="11"/>
  <c r="K172" i="11"/>
  <c r="L172" i="11"/>
  <c r="M172" i="11"/>
  <c r="N172" i="11"/>
  <c r="O172" i="11"/>
  <c r="P172" i="11"/>
  <c r="A173" i="11"/>
  <c r="B173" i="11"/>
  <c r="C173" i="11"/>
  <c r="D173" i="11"/>
  <c r="E173" i="11"/>
  <c r="F173" i="11"/>
  <c r="G173" i="11"/>
  <c r="H173" i="11"/>
  <c r="I173" i="11"/>
  <c r="K173" i="11"/>
  <c r="L173" i="11"/>
  <c r="M173" i="11"/>
  <c r="N173" i="11"/>
  <c r="O173" i="11"/>
  <c r="P173" i="11"/>
  <c r="A174" i="11"/>
  <c r="B174" i="11"/>
  <c r="C174" i="11"/>
  <c r="D174" i="11"/>
  <c r="E174" i="11"/>
  <c r="F174" i="11"/>
  <c r="G174" i="11"/>
  <c r="H174" i="11"/>
  <c r="I174" i="11"/>
  <c r="K174" i="11"/>
  <c r="L174" i="11"/>
  <c r="M174" i="11"/>
  <c r="N174" i="11"/>
  <c r="O174" i="11"/>
  <c r="P174" i="11"/>
  <c r="A175" i="11"/>
  <c r="B175" i="11"/>
  <c r="C175" i="11"/>
  <c r="D175" i="11"/>
  <c r="E175" i="11"/>
  <c r="F175" i="11"/>
  <c r="G175" i="11"/>
  <c r="H175" i="11"/>
  <c r="I175" i="11"/>
  <c r="K175" i="11"/>
  <c r="L175" i="11"/>
  <c r="M175" i="11"/>
  <c r="N175" i="11"/>
  <c r="O175" i="11"/>
  <c r="P175" i="11"/>
  <c r="A176" i="11"/>
  <c r="B176" i="11"/>
  <c r="C176" i="11"/>
  <c r="D176" i="11"/>
  <c r="E176" i="11"/>
  <c r="F176" i="11"/>
  <c r="G176" i="11"/>
  <c r="H176" i="11"/>
  <c r="I176" i="11"/>
  <c r="K176" i="11"/>
  <c r="L176" i="11"/>
  <c r="M176" i="11"/>
  <c r="N176" i="11"/>
  <c r="O176" i="11"/>
  <c r="P176" i="11"/>
  <c r="A138" i="11"/>
  <c r="B138" i="11"/>
  <c r="C138" i="11"/>
  <c r="D138" i="11"/>
  <c r="E138" i="11"/>
  <c r="F138" i="11"/>
  <c r="G138" i="11"/>
  <c r="H138" i="11"/>
  <c r="I138" i="11"/>
  <c r="K138" i="11"/>
  <c r="L138" i="11"/>
  <c r="M138" i="11"/>
  <c r="N138" i="11"/>
  <c r="O138" i="11"/>
  <c r="P138" i="11"/>
  <c r="A139" i="11"/>
  <c r="B139" i="11"/>
  <c r="C139" i="11"/>
  <c r="D139" i="11"/>
  <c r="E139" i="11"/>
  <c r="F139" i="11"/>
  <c r="G139" i="11"/>
  <c r="H139" i="11"/>
  <c r="I139" i="11"/>
  <c r="K139" i="11"/>
  <c r="L139" i="11"/>
  <c r="M139" i="11"/>
  <c r="N139" i="11"/>
  <c r="O139" i="11"/>
  <c r="P139" i="11"/>
  <c r="A140" i="11"/>
  <c r="B140" i="11"/>
  <c r="C140" i="11"/>
  <c r="D140" i="11"/>
  <c r="E140" i="11"/>
  <c r="F140" i="11"/>
  <c r="G140" i="11"/>
  <c r="H140" i="11"/>
  <c r="I140" i="11"/>
  <c r="K140" i="11"/>
  <c r="L140" i="11"/>
  <c r="M140" i="11"/>
  <c r="N140" i="11"/>
  <c r="O140" i="11"/>
  <c r="P140" i="11"/>
  <c r="A141" i="11"/>
  <c r="B141" i="11"/>
  <c r="C141" i="11"/>
  <c r="D141" i="11"/>
  <c r="E141" i="11"/>
  <c r="F141" i="11"/>
  <c r="G141" i="11"/>
  <c r="H141" i="11"/>
  <c r="I141" i="11"/>
  <c r="K141" i="11"/>
  <c r="L141" i="11"/>
  <c r="M141" i="11"/>
  <c r="N141" i="11"/>
  <c r="O141" i="11"/>
  <c r="P141" i="11"/>
  <c r="A142" i="11"/>
  <c r="B142" i="11"/>
  <c r="C142" i="11"/>
  <c r="D142" i="11"/>
  <c r="E142" i="11"/>
  <c r="F142" i="11"/>
  <c r="G142" i="11"/>
  <c r="H142" i="11"/>
  <c r="I142" i="11"/>
  <c r="J142" i="11"/>
  <c r="K142" i="11"/>
  <c r="L142" i="11"/>
  <c r="M142" i="11"/>
  <c r="N142" i="11"/>
  <c r="O142" i="11"/>
  <c r="P142" i="11"/>
  <c r="A143" i="11"/>
  <c r="B143" i="11"/>
  <c r="C143" i="11"/>
  <c r="D143" i="11"/>
  <c r="E143" i="11"/>
  <c r="F143" i="11"/>
  <c r="G143" i="11"/>
  <c r="H143" i="11"/>
  <c r="I143" i="11"/>
  <c r="K143" i="11"/>
  <c r="L143" i="11"/>
  <c r="M143" i="11"/>
  <c r="N143" i="11"/>
  <c r="O143" i="11"/>
  <c r="P143" i="11"/>
  <c r="A144" i="11"/>
  <c r="B144" i="11"/>
  <c r="C144" i="11"/>
  <c r="D144" i="11"/>
  <c r="E144" i="11"/>
  <c r="F144" i="11"/>
  <c r="G144" i="11"/>
  <c r="H144" i="11"/>
  <c r="I144" i="11"/>
  <c r="K144" i="11"/>
  <c r="L144" i="11"/>
  <c r="M144" i="11"/>
  <c r="N144" i="11"/>
  <c r="O144" i="11"/>
  <c r="P144" i="11"/>
  <c r="A133" i="11"/>
  <c r="B133" i="11"/>
  <c r="C133" i="11"/>
  <c r="D133" i="11"/>
  <c r="E133" i="11"/>
  <c r="F133" i="11"/>
  <c r="G133" i="11"/>
  <c r="H133" i="11"/>
  <c r="I133" i="11"/>
  <c r="K133" i="11"/>
  <c r="L133" i="11"/>
  <c r="M133" i="11"/>
  <c r="N133" i="11"/>
  <c r="O133" i="11"/>
  <c r="P133" i="11"/>
  <c r="A134" i="11"/>
  <c r="B134" i="11"/>
  <c r="C134" i="11"/>
  <c r="D134" i="11"/>
  <c r="E134" i="11"/>
  <c r="F134" i="11"/>
  <c r="G134" i="11"/>
  <c r="H134" i="11"/>
  <c r="I134" i="11"/>
  <c r="K134" i="11"/>
  <c r="L134" i="11"/>
  <c r="M134" i="11"/>
  <c r="N134" i="11"/>
  <c r="O134" i="11"/>
  <c r="P134" i="11"/>
  <c r="A135" i="11"/>
  <c r="B135" i="11"/>
  <c r="C135" i="11"/>
  <c r="D135" i="11"/>
  <c r="E135" i="11"/>
  <c r="F135" i="11"/>
  <c r="G135" i="11"/>
  <c r="H135" i="11"/>
  <c r="I135" i="11"/>
  <c r="J135" i="11"/>
  <c r="K135" i="11"/>
  <c r="L135" i="11"/>
  <c r="M135" i="11"/>
  <c r="N135" i="11"/>
  <c r="O135" i="11"/>
  <c r="P135" i="11"/>
  <c r="A136" i="11"/>
  <c r="B136" i="11"/>
  <c r="C136" i="11"/>
  <c r="D136" i="11"/>
  <c r="E136" i="11"/>
  <c r="F136" i="11"/>
  <c r="G136" i="11"/>
  <c r="H136" i="11"/>
  <c r="I136" i="11"/>
  <c r="J136" i="11"/>
  <c r="K136" i="11"/>
  <c r="L136" i="11"/>
  <c r="M136" i="11"/>
  <c r="N136" i="11"/>
  <c r="O136" i="11"/>
  <c r="P136" i="11"/>
  <c r="A137" i="11"/>
  <c r="B137" i="11"/>
  <c r="C137" i="11"/>
  <c r="D137" i="11"/>
  <c r="E137" i="11"/>
  <c r="F137" i="11"/>
  <c r="G137" i="11"/>
  <c r="H137" i="11"/>
  <c r="I137" i="11"/>
  <c r="K137" i="11"/>
  <c r="L137" i="11"/>
  <c r="M137" i="11"/>
  <c r="N137" i="11"/>
  <c r="O137" i="11"/>
  <c r="P137" i="11"/>
  <c r="A131" i="11"/>
  <c r="B131" i="11"/>
  <c r="C131" i="11"/>
  <c r="D131" i="11"/>
  <c r="E131" i="11"/>
  <c r="F131" i="11"/>
  <c r="G131" i="11"/>
  <c r="H131" i="11"/>
  <c r="I131" i="11"/>
  <c r="K131" i="11"/>
  <c r="L131" i="11"/>
  <c r="M131" i="11"/>
  <c r="N131" i="11"/>
  <c r="O131" i="11"/>
  <c r="P131" i="11"/>
  <c r="A132" i="11"/>
  <c r="B132" i="11"/>
  <c r="C132" i="11"/>
  <c r="D132" i="11"/>
  <c r="E132" i="11"/>
  <c r="F132" i="11"/>
  <c r="G132" i="11"/>
  <c r="H132" i="11"/>
  <c r="I132" i="11"/>
  <c r="K132" i="11"/>
  <c r="L132" i="11"/>
  <c r="M132" i="11"/>
  <c r="N132" i="11"/>
  <c r="O132" i="11"/>
  <c r="P132" i="11"/>
  <c r="D23" i="11"/>
  <c r="E23" i="11"/>
  <c r="F23" i="11"/>
  <c r="G23" i="11"/>
  <c r="H23" i="11"/>
  <c r="I23" i="11"/>
  <c r="K23" i="11"/>
  <c r="L23" i="11"/>
  <c r="M23" i="11"/>
  <c r="N23" i="11"/>
  <c r="O23" i="11"/>
  <c r="P23" i="11"/>
  <c r="D24" i="11"/>
  <c r="E24" i="11"/>
  <c r="F24" i="11"/>
  <c r="G24" i="11"/>
  <c r="H24" i="11"/>
  <c r="I24" i="11"/>
  <c r="K24" i="11"/>
  <c r="L24" i="11"/>
  <c r="M24" i="11"/>
  <c r="N24" i="11"/>
  <c r="O24" i="11"/>
  <c r="P24" i="11"/>
  <c r="D25" i="11"/>
  <c r="E25" i="11"/>
  <c r="F25" i="11"/>
  <c r="G25" i="11"/>
  <c r="H25" i="11"/>
  <c r="I25" i="11"/>
  <c r="K25" i="11"/>
  <c r="L25" i="11"/>
  <c r="M25" i="11"/>
  <c r="N25" i="11"/>
  <c r="O25" i="11"/>
  <c r="P25" i="11"/>
  <c r="D26" i="11"/>
  <c r="E26" i="11"/>
  <c r="F26" i="11"/>
  <c r="G26" i="11"/>
  <c r="H26" i="11"/>
  <c r="I26" i="11"/>
  <c r="K26" i="11"/>
  <c r="L26" i="11"/>
  <c r="M26" i="11"/>
  <c r="N26" i="11"/>
  <c r="O26" i="11"/>
  <c r="P26" i="11"/>
  <c r="D27" i="11"/>
  <c r="E27" i="11"/>
  <c r="F27" i="11"/>
  <c r="G27" i="11"/>
  <c r="H27" i="11"/>
  <c r="I27" i="11"/>
  <c r="K27" i="11"/>
  <c r="L27" i="11"/>
  <c r="M27" i="11"/>
  <c r="N27" i="11"/>
  <c r="O27" i="11"/>
  <c r="P27" i="11"/>
  <c r="D28" i="11"/>
  <c r="E28" i="11"/>
  <c r="F28" i="11"/>
  <c r="G28" i="11"/>
  <c r="H28" i="11"/>
  <c r="I28" i="11"/>
  <c r="K28" i="11"/>
  <c r="L28" i="11"/>
  <c r="M28" i="11"/>
  <c r="N28" i="11"/>
  <c r="O28" i="11"/>
  <c r="P28" i="11"/>
  <c r="D29" i="11"/>
  <c r="E29" i="11"/>
  <c r="F29" i="11"/>
  <c r="G29" i="11"/>
  <c r="H29" i="11"/>
  <c r="I29" i="11"/>
  <c r="K29" i="11"/>
  <c r="L29" i="11"/>
  <c r="M29" i="11"/>
  <c r="N29" i="11"/>
  <c r="O29" i="11"/>
  <c r="P29" i="11"/>
  <c r="D30" i="11"/>
  <c r="E30" i="11"/>
  <c r="F30" i="11"/>
  <c r="G30" i="11"/>
  <c r="H30" i="11"/>
  <c r="I30" i="11"/>
  <c r="K30" i="11"/>
  <c r="L30" i="11"/>
  <c r="M30" i="11"/>
  <c r="N30" i="11"/>
  <c r="O30" i="11"/>
  <c r="P30" i="11"/>
  <c r="D31" i="11"/>
  <c r="E31" i="11"/>
  <c r="F31" i="11"/>
  <c r="G31" i="11"/>
  <c r="H31" i="11"/>
  <c r="I31" i="11"/>
  <c r="K31" i="11"/>
  <c r="L31" i="11"/>
  <c r="M31" i="11"/>
  <c r="N31" i="11"/>
  <c r="O31" i="11"/>
  <c r="P31" i="11"/>
  <c r="D32" i="11"/>
  <c r="E32" i="11"/>
  <c r="F32" i="11"/>
  <c r="G32" i="11"/>
  <c r="H32" i="11"/>
  <c r="I32" i="11"/>
  <c r="K32" i="11"/>
  <c r="L32" i="11"/>
  <c r="M32" i="11"/>
  <c r="N32" i="11"/>
  <c r="O32" i="11"/>
  <c r="P32" i="11"/>
  <c r="D33" i="11"/>
  <c r="E33" i="11"/>
  <c r="F33" i="11"/>
  <c r="G33" i="11"/>
  <c r="H33" i="11"/>
  <c r="I33" i="11"/>
  <c r="K33" i="11"/>
  <c r="L33" i="11"/>
  <c r="M33" i="11"/>
  <c r="N33" i="11"/>
  <c r="O33" i="11"/>
  <c r="P33" i="11"/>
  <c r="D34" i="11"/>
  <c r="E34" i="11"/>
  <c r="F34" i="11"/>
  <c r="G34" i="11"/>
  <c r="H34" i="11"/>
  <c r="I34" i="11"/>
  <c r="K34" i="11"/>
  <c r="L34" i="11"/>
  <c r="M34" i="11"/>
  <c r="N34" i="11"/>
  <c r="O34" i="11"/>
  <c r="P34" i="11"/>
  <c r="D35" i="11"/>
  <c r="E35" i="11"/>
  <c r="F35" i="11"/>
  <c r="G35" i="11"/>
  <c r="H35" i="11"/>
  <c r="I35" i="11"/>
  <c r="K35" i="11"/>
  <c r="L35" i="11"/>
  <c r="M35" i="11"/>
  <c r="N35" i="11"/>
  <c r="O35" i="11"/>
  <c r="P35" i="11"/>
  <c r="D36" i="11"/>
  <c r="E36" i="11"/>
  <c r="F36" i="11"/>
  <c r="G36" i="11"/>
  <c r="H36" i="11"/>
  <c r="I36" i="11"/>
  <c r="K36" i="11"/>
  <c r="L36" i="11"/>
  <c r="M36" i="11"/>
  <c r="N36" i="11"/>
  <c r="O36" i="11"/>
  <c r="P36" i="11"/>
  <c r="D37" i="11"/>
  <c r="E37" i="11"/>
  <c r="F37" i="11"/>
  <c r="G37" i="11"/>
  <c r="H37" i="11"/>
  <c r="I37" i="11"/>
  <c r="K37" i="11"/>
  <c r="L37" i="11"/>
  <c r="M37" i="11"/>
  <c r="N37" i="11"/>
  <c r="O37" i="11"/>
  <c r="P37" i="11"/>
  <c r="D38" i="11"/>
  <c r="E38" i="11"/>
  <c r="F38" i="11"/>
  <c r="G38" i="11"/>
  <c r="H38" i="11"/>
  <c r="I38" i="11"/>
  <c r="K38" i="11"/>
  <c r="L38" i="11"/>
  <c r="M38" i="11"/>
  <c r="N38" i="11"/>
  <c r="O38" i="11"/>
  <c r="P38" i="11"/>
  <c r="C24" i="11"/>
  <c r="C25" i="11"/>
  <c r="C26" i="11"/>
  <c r="C27" i="11"/>
  <c r="C28" i="11"/>
  <c r="C29" i="11"/>
  <c r="C30" i="11"/>
  <c r="C31" i="11"/>
  <c r="C32" i="11"/>
  <c r="C33" i="11"/>
  <c r="C34" i="11"/>
  <c r="C35" i="11"/>
  <c r="C36" i="11"/>
  <c r="C37" i="11"/>
  <c r="C38" i="11"/>
  <c r="H14" i="2"/>
  <c r="J25" i="11" s="1"/>
  <c r="H15" i="2" l="1"/>
  <c r="J26" i="11" s="1"/>
  <c r="H12" i="2"/>
  <c r="J23" i="11" s="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C248" i="11"/>
  <c r="D248" i="11"/>
  <c r="E248" i="11"/>
  <c r="F248" i="11"/>
  <c r="G248" i="11"/>
  <c r="H248" i="11"/>
  <c r="I248" i="11"/>
  <c r="J248" i="11"/>
  <c r="K248" i="11"/>
  <c r="L248" i="11"/>
  <c r="M248" i="11"/>
  <c r="N248" i="11"/>
  <c r="O248" i="11"/>
  <c r="P248" i="11"/>
  <c r="C249" i="11"/>
  <c r="D249" i="11"/>
  <c r="E249" i="11"/>
  <c r="F249" i="11"/>
  <c r="G249" i="11"/>
  <c r="H249" i="11"/>
  <c r="I249" i="11"/>
  <c r="J249" i="11"/>
  <c r="K249" i="11"/>
  <c r="L249" i="11"/>
  <c r="M249" i="11"/>
  <c r="N249" i="11"/>
  <c r="O249" i="11"/>
  <c r="P249" i="11"/>
  <c r="C250" i="11"/>
  <c r="D250" i="11"/>
  <c r="E250" i="11"/>
  <c r="F250" i="11"/>
  <c r="G250" i="11"/>
  <c r="H250" i="11"/>
  <c r="I250" i="11"/>
  <c r="J250" i="11"/>
  <c r="K250" i="11"/>
  <c r="L250" i="11"/>
  <c r="M250" i="11"/>
  <c r="N250" i="11"/>
  <c r="O250" i="11"/>
  <c r="P250" i="11"/>
  <c r="C251" i="11"/>
  <c r="D251" i="11"/>
  <c r="E251" i="11"/>
  <c r="F251" i="11"/>
  <c r="G251" i="11"/>
  <c r="H251" i="11"/>
  <c r="I251" i="11"/>
  <c r="J251" i="11"/>
  <c r="K251" i="11"/>
  <c r="L251" i="11"/>
  <c r="M251" i="11"/>
  <c r="N251" i="11"/>
  <c r="O251" i="11"/>
  <c r="P251" i="11"/>
  <c r="C252" i="11"/>
  <c r="D252" i="11"/>
  <c r="E252" i="11"/>
  <c r="F252" i="11"/>
  <c r="G252" i="11"/>
  <c r="H252" i="11"/>
  <c r="I252" i="11"/>
  <c r="J252" i="11"/>
  <c r="K252" i="11"/>
  <c r="L252" i="11"/>
  <c r="M252" i="11"/>
  <c r="N252" i="11"/>
  <c r="O252" i="11"/>
  <c r="P252" i="11"/>
  <c r="C253" i="11"/>
  <c r="D253" i="11"/>
  <c r="E253" i="11"/>
  <c r="F253" i="11"/>
  <c r="G253" i="11"/>
  <c r="H253" i="11"/>
  <c r="I253" i="11"/>
  <c r="J253" i="11"/>
  <c r="K253" i="11"/>
  <c r="L253" i="11"/>
  <c r="M253" i="11"/>
  <c r="N253" i="11"/>
  <c r="O253" i="11"/>
  <c r="P253" i="11"/>
  <c r="C254" i="11"/>
  <c r="D254" i="11"/>
  <c r="E254" i="11"/>
  <c r="F254" i="11"/>
  <c r="G254" i="11"/>
  <c r="H254" i="11"/>
  <c r="I254" i="11"/>
  <c r="J254" i="11"/>
  <c r="K254" i="11"/>
  <c r="L254" i="11"/>
  <c r="M254" i="11"/>
  <c r="N254" i="11"/>
  <c r="O254" i="11"/>
  <c r="P254" i="11"/>
  <c r="C255" i="11"/>
  <c r="D255" i="11"/>
  <c r="E255" i="11"/>
  <c r="F255" i="11"/>
  <c r="G255" i="11"/>
  <c r="H255" i="11"/>
  <c r="I255" i="11"/>
  <c r="J255" i="11"/>
  <c r="K255" i="11"/>
  <c r="L255" i="11"/>
  <c r="M255" i="11"/>
  <c r="N255" i="11"/>
  <c r="O255" i="11"/>
  <c r="P255" i="11"/>
  <c r="C256" i="11"/>
  <c r="D256" i="11"/>
  <c r="E256" i="11"/>
  <c r="F256" i="11"/>
  <c r="G256" i="11"/>
  <c r="H256" i="11"/>
  <c r="I256" i="11"/>
  <c r="J256" i="11"/>
  <c r="K256" i="11"/>
  <c r="L256" i="11"/>
  <c r="M256" i="11"/>
  <c r="N256" i="11"/>
  <c r="O256" i="11"/>
  <c r="P256" i="11"/>
  <c r="C257" i="11"/>
  <c r="D257" i="11"/>
  <c r="E257" i="11"/>
  <c r="F257" i="11"/>
  <c r="G257" i="11"/>
  <c r="H257" i="11"/>
  <c r="I257" i="11"/>
  <c r="J257" i="11"/>
  <c r="K257" i="11"/>
  <c r="L257" i="11"/>
  <c r="M257" i="11"/>
  <c r="N257" i="11"/>
  <c r="O257" i="11"/>
  <c r="P257" i="11"/>
  <c r="C258" i="11"/>
  <c r="D258" i="11"/>
  <c r="E258" i="11"/>
  <c r="F258" i="11"/>
  <c r="G258" i="11"/>
  <c r="H258" i="11"/>
  <c r="I258" i="11"/>
  <c r="J258" i="11"/>
  <c r="K258" i="11"/>
  <c r="L258" i="11"/>
  <c r="M258" i="11"/>
  <c r="N258" i="11"/>
  <c r="O258" i="11"/>
  <c r="P258" i="11"/>
  <c r="C259" i="11"/>
  <c r="D259" i="11"/>
  <c r="E259" i="11"/>
  <c r="F259" i="11"/>
  <c r="G259" i="11"/>
  <c r="H259" i="11"/>
  <c r="I259" i="11"/>
  <c r="J259" i="11"/>
  <c r="K259" i="11"/>
  <c r="L259" i="11"/>
  <c r="M259" i="11"/>
  <c r="N259" i="11"/>
  <c r="O259" i="11"/>
  <c r="P259" i="11"/>
  <c r="C260" i="11"/>
  <c r="D260" i="11"/>
  <c r="E260" i="11"/>
  <c r="F260" i="11"/>
  <c r="G260" i="11"/>
  <c r="H260" i="11"/>
  <c r="I260" i="11"/>
  <c r="J260" i="11"/>
  <c r="K260" i="11"/>
  <c r="L260" i="11"/>
  <c r="M260" i="11"/>
  <c r="N260" i="11"/>
  <c r="O260" i="11"/>
  <c r="P260" i="11"/>
  <c r="C261" i="11"/>
  <c r="D261" i="11"/>
  <c r="E261" i="11"/>
  <c r="F261" i="11"/>
  <c r="G261" i="11"/>
  <c r="H261" i="11"/>
  <c r="I261" i="11"/>
  <c r="J261" i="11"/>
  <c r="K261" i="11"/>
  <c r="L261" i="11"/>
  <c r="M261" i="11"/>
  <c r="N261" i="11"/>
  <c r="O261" i="11"/>
  <c r="P261" i="11"/>
  <c r="C262" i="11"/>
  <c r="D262" i="11"/>
  <c r="E262" i="11"/>
  <c r="F262" i="11"/>
  <c r="G262" i="11"/>
  <c r="H262" i="11"/>
  <c r="I262" i="11"/>
  <c r="J262" i="11"/>
  <c r="K262" i="11"/>
  <c r="L262" i="11"/>
  <c r="M262" i="11"/>
  <c r="N262" i="11"/>
  <c r="O262" i="11"/>
  <c r="P262" i="11"/>
  <c r="C263" i="11"/>
  <c r="D263" i="11"/>
  <c r="E263" i="11"/>
  <c r="F263" i="11"/>
  <c r="G263" i="11"/>
  <c r="H263" i="11"/>
  <c r="I263" i="11"/>
  <c r="J263" i="11"/>
  <c r="K263" i="11"/>
  <c r="L263" i="11"/>
  <c r="M263" i="11"/>
  <c r="N263" i="11"/>
  <c r="O263" i="11"/>
  <c r="P263" i="11"/>
  <c r="C264" i="11"/>
  <c r="D264" i="11"/>
  <c r="E264" i="11"/>
  <c r="F264" i="11"/>
  <c r="G264" i="11"/>
  <c r="H264" i="11"/>
  <c r="I264" i="11"/>
  <c r="J264" i="11"/>
  <c r="K264" i="11"/>
  <c r="L264" i="11"/>
  <c r="M264" i="11"/>
  <c r="N264" i="11"/>
  <c r="O264" i="11"/>
  <c r="P264" i="11"/>
  <c r="C265" i="11"/>
  <c r="D265" i="11"/>
  <c r="E265" i="11"/>
  <c r="F265" i="11"/>
  <c r="G265" i="11"/>
  <c r="H265" i="11"/>
  <c r="I265" i="11"/>
  <c r="J265" i="11"/>
  <c r="K265" i="11"/>
  <c r="L265" i="11"/>
  <c r="M265" i="11"/>
  <c r="N265" i="11"/>
  <c r="O265" i="11"/>
  <c r="P265" i="11"/>
  <c r="C227" i="11"/>
  <c r="D227" i="11"/>
  <c r="E227" i="11"/>
  <c r="F227" i="11"/>
  <c r="G227" i="11"/>
  <c r="H227" i="11"/>
  <c r="I227" i="11"/>
  <c r="J227" i="11"/>
  <c r="K227" i="11"/>
  <c r="L227" i="11"/>
  <c r="M227" i="11"/>
  <c r="N227" i="11"/>
  <c r="O227" i="11"/>
  <c r="P227" i="11"/>
  <c r="C228" i="11"/>
  <c r="D228" i="11"/>
  <c r="E228" i="11"/>
  <c r="F228" i="11"/>
  <c r="G228" i="11"/>
  <c r="H228" i="11"/>
  <c r="I228" i="11"/>
  <c r="J228" i="11"/>
  <c r="K228" i="11"/>
  <c r="L228" i="11"/>
  <c r="M228" i="11"/>
  <c r="N228" i="11"/>
  <c r="O228" i="11"/>
  <c r="P228" i="11"/>
  <c r="C229" i="11"/>
  <c r="D229" i="11"/>
  <c r="E229" i="11"/>
  <c r="F229" i="11"/>
  <c r="G229" i="11"/>
  <c r="H229" i="11"/>
  <c r="I229" i="11"/>
  <c r="J229" i="11"/>
  <c r="K229" i="11"/>
  <c r="L229" i="11"/>
  <c r="M229" i="11"/>
  <c r="N229" i="11"/>
  <c r="O229" i="11"/>
  <c r="P229" i="11"/>
  <c r="C230" i="11"/>
  <c r="D230" i="11"/>
  <c r="E230" i="11"/>
  <c r="F230" i="11"/>
  <c r="G230" i="11"/>
  <c r="H230" i="11"/>
  <c r="I230" i="11"/>
  <c r="J230" i="11"/>
  <c r="K230" i="11"/>
  <c r="L230" i="11"/>
  <c r="M230" i="11"/>
  <c r="N230" i="11"/>
  <c r="O230" i="11"/>
  <c r="P230" i="11"/>
  <c r="C231" i="11"/>
  <c r="D231" i="11"/>
  <c r="E231" i="11"/>
  <c r="F231" i="11"/>
  <c r="G231" i="11"/>
  <c r="H231" i="11"/>
  <c r="I231" i="11"/>
  <c r="J231" i="11"/>
  <c r="K231" i="11"/>
  <c r="L231" i="11"/>
  <c r="M231" i="11"/>
  <c r="N231" i="11"/>
  <c r="O231" i="11"/>
  <c r="P231" i="11"/>
  <c r="C232" i="11"/>
  <c r="D232" i="11"/>
  <c r="E232" i="11"/>
  <c r="F232" i="11"/>
  <c r="G232" i="11"/>
  <c r="H232" i="11"/>
  <c r="I232" i="11"/>
  <c r="J232" i="11"/>
  <c r="K232" i="11"/>
  <c r="L232" i="11"/>
  <c r="M232" i="11"/>
  <c r="N232" i="11"/>
  <c r="O232" i="11"/>
  <c r="P232" i="11"/>
  <c r="C233" i="11"/>
  <c r="D233" i="11"/>
  <c r="E233" i="11"/>
  <c r="F233" i="11"/>
  <c r="G233" i="11"/>
  <c r="H233" i="11"/>
  <c r="I233" i="11"/>
  <c r="J233" i="11"/>
  <c r="K233" i="11"/>
  <c r="L233" i="11"/>
  <c r="M233" i="11"/>
  <c r="N233" i="11"/>
  <c r="O233" i="11"/>
  <c r="P233" i="11"/>
  <c r="C234" i="11"/>
  <c r="D234" i="11"/>
  <c r="E234" i="11"/>
  <c r="F234" i="11"/>
  <c r="G234" i="11"/>
  <c r="H234" i="11"/>
  <c r="I234" i="11"/>
  <c r="J234" i="11"/>
  <c r="K234" i="11"/>
  <c r="L234" i="11"/>
  <c r="M234" i="11"/>
  <c r="N234" i="11"/>
  <c r="O234" i="11"/>
  <c r="P234" i="11"/>
  <c r="C235" i="11"/>
  <c r="D235" i="11"/>
  <c r="E235" i="11"/>
  <c r="F235" i="11"/>
  <c r="G235" i="11"/>
  <c r="H235" i="11"/>
  <c r="I235" i="11"/>
  <c r="J235" i="11"/>
  <c r="K235" i="11"/>
  <c r="L235" i="11"/>
  <c r="M235" i="11"/>
  <c r="N235" i="11"/>
  <c r="O235" i="11"/>
  <c r="P235" i="11"/>
  <c r="C236" i="11"/>
  <c r="D236" i="11"/>
  <c r="E236" i="11"/>
  <c r="F236" i="11"/>
  <c r="G236" i="11"/>
  <c r="H236" i="11"/>
  <c r="I236" i="11"/>
  <c r="J236" i="11"/>
  <c r="K236" i="11"/>
  <c r="L236" i="11"/>
  <c r="M236" i="11"/>
  <c r="N236" i="11"/>
  <c r="O236" i="11"/>
  <c r="P236" i="11"/>
  <c r="C237" i="11"/>
  <c r="D237" i="11"/>
  <c r="E237" i="11"/>
  <c r="F237" i="11"/>
  <c r="G237" i="11"/>
  <c r="H237" i="11"/>
  <c r="I237" i="11"/>
  <c r="J237" i="11"/>
  <c r="K237" i="11"/>
  <c r="L237" i="11"/>
  <c r="M237" i="11"/>
  <c r="N237" i="11"/>
  <c r="O237" i="11"/>
  <c r="P237" i="11"/>
  <c r="C238" i="11"/>
  <c r="D238" i="11"/>
  <c r="E238" i="11"/>
  <c r="F238" i="11"/>
  <c r="G238" i="11"/>
  <c r="H238" i="11"/>
  <c r="I238" i="11"/>
  <c r="J238" i="11"/>
  <c r="K238" i="11"/>
  <c r="L238" i="11"/>
  <c r="M238" i="11"/>
  <c r="N238" i="11"/>
  <c r="O238" i="11"/>
  <c r="P238" i="11"/>
  <c r="C239" i="11"/>
  <c r="D239" i="11"/>
  <c r="E239" i="11"/>
  <c r="F239" i="11"/>
  <c r="G239" i="11"/>
  <c r="H239" i="11"/>
  <c r="I239" i="11"/>
  <c r="J239" i="11"/>
  <c r="K239" i="11"/>
  <c r="L239" i="11"/>
  <c r="M239" i="11"/>
  <c r="N239" i="11"/>
  <c r="O239" i="11"/>
  <c r="P239" i="11"/>
  <c r="C240" i="11"/>
  <c r="D240" i="11"/>
  <c r="E240" i="11"/>
  <c r="F240" i="11"/>
  <c r="G240" i="11"/>
  <c r="H240" i="11"/>
  <c r="I240" i="11"/>
  <c r="J240" i="11"/>
  <c r="K240" i="11"/>
  <c r="L240" i="11"/>
  <c r="M240" i="11"/>
  <c r="N240" i="11"/>
  <c r="O240" i="11"/>
  <c r="P240" i="11"/>
  <c r="C241" i="11"/>
  <c r="D241" i="11"/>
  <c r="E241" i="11"/>
  <c r="F241" i="11"/>
  <c r="G241" i="11"/>
  <c r="H241" i="11"/>
  <c r="I241" i="11"/>
  <c r="J241" i="11"/>
  <c r="K241" i="11"/>
  <c r="L241" i="11"/>
  <c r="M241" i="11"/>
  <c r="N241" i="11"/>
  <c r="O241" i="11"/>
  <c r="P241" i="11"/>
  <c r="C242" i="11"/>
  <c r="D242" i="11"/>
  <c r="E242" i="11"/>
  <c r="F242" i="11"/>
  <c r="G242" i="11"/>
  <c r="H242" i="11"/>
  <c r="I242" i="11"/>
  <c r="J242" i="11"/>
  <c r="K242" i="11"/>
  <c r="L242" i="11"/>
  <c r="M242" i="11"/>
  <c r="N242" i="11"/>
  <c r="O242" i="11"/>
  <c r="P242" i="11"/>
  <c r="C243" i="11"/>
  <c r="D243" i="11"/>
  <c r="E243" i="11"/>
  <c r="F243" i="11"/>
  <c r="G243" i="11"/>
  <c r="H243" i="11"/>
  <c r="I243" i="11"/>
  <c r="J243" i="11"/>
  <c r="K243" i="11"/>
  <c r="L243" i="11"/>
  <c r="M243" i="11"/>
  <c r="N243" i="11"/>
  <c r="O243" i="11"/>
  <c r="P243" i="11"/>
  <c r="C244" i="11"/>
  <c r="D244" i="11"/>
  <c r="E244" i="11"/>
  <c r="F244" i="11"/>
  <c r="G244" i="11"/>
  <c r="H244" i="11"/>
  <c r="I244" i="11"/>
  <c r="J244" i="11"/>
  <c r="K244" i="11"/>
  <c r="L244" i="11"/>
  <c r="M244" i="11"/>
  <c r="N244" i="11"/>
  <c r="O244" i="11"/>
  <c r="P244" i="11"/>
  <c r="C245" i="11"/>
  <c r="D245" i="11"/>
  <c r="E245" i="11"/>
  <c r="F245" i="11"/>
  <c r="G245" i="11"/>
  <c r="H245" i="11"/>
  <c r="I245" i="11"/>
  <c r="J245" i="11"/>
  <c r="K245" i="11"/>
  <c r="L245" i="11"/>
  <c r="M245" i="11"/>
  <c r="N245" i="11"/>
  <c r="O245" i="11"/>
  <c r="P245" i="11"/>
  <c r="C246" i="11"/>
  <c r="D246" i="11"/>
  <c r="E246" i="11"/>
  <c r="F246" i="11"/>
  <c r="G246" i="11"/>
  <c r="H246" i="11"/>
  <c r="I246" i="11"/>
  <c r="J246" i="11"/>
  <c r="K246" i="11"/>
  <c r="L246" i="11"/>
  <c r="M246" i="11"/>
  <c r="N246" i="11"/>
  <c r="O246" i="11"/>
  <c r="P246" i="11"/>
  <c r="C247" i="11"/>
  <c r="D247" i="11"/>
  <c r="E247" i="11"/>
  <c r="F247" i="11"/>
  <c r="G247" i="11"/>
  <c r="H247" i="11"/>
  <c r="I247" i="11"/>
  <c r="J247" i="11"/>
  <c r="K247" i="11"/>
  <c r="L247" i="11"/>
  <c r="M247" i="11"/>
  <c r="N247" i="11"/>
  <c r="O247" i="11"/>
  <c r="P247" i="11"/>
  <c r="D226" i="11"/>
  <c r="E226" i="11"/>
  <c r="F226" i="11"/>
  <c r="G226" i="11"/>
  <c r="H226" i="11"/>
  <c r="I226" i="11"/>
  <c r="J226" i="11"/>
  <c r="K226" i="11"/>
  <c r="L226" i="11"/>
  <c r="M226" i="11"/>
  <c r="N226" i="11"/>
  <c r="O226" i="11"/>
  <c r="P226" i="11"/>
  <c r="C226" i="11"/>
  <c r="B226" i="11"/>
  <c r="A226" i="11"/>
  <c r="B206" i="11"/>
  <c r="B207" i="11"/>
  <c r="B208" i="11"/>
  <c r="B209" i="11"/>
  <c r="B210" i="11"/>
  <c r="B211" i="11"/>
  <c r="B212" i="11"/>
  <c r="B213" i="11"/>
  <c r="B214" i="11"/>
  <c r="B215" i="11"/>
  <c r="B216" i="11"/>
  <c r="B217" i="11"/>
  <c r="B218" i="11"/>
  <c r="B219" i="11"/>
  <c r="B220" i="11"/>
  <c r="B221" i="11"/>
  <c r="B205" i="11"/>
  <c r="A206" i="11"/>
  <c r="A207" i="11"/>
  <c r="A208" i="11"/>
  <c r="A209" i="11"/>
  <c r="A210" i="11"/>
  <c r="A211" i="11"/>
  <c r="A212" i="11"/>
  <c r="A213" i="11"/>
  <c r="A214" i="11"/>
  <c r="A215" i="11"/>
  <c r="A216" i="11"/>
  <c r="A217" i="11"/>
  <c r="A218" i="11"/>
  <c r="A219" i="11"/>
  <c r="A220" i="11"/>
  <c r="A221" i="11"/>
  <c r="A205" i="11"/>
  <c r="C206" i="11"/>
  <c r="D206" i="11"/>
  <c r="E206" i="11"/>
  <c r="F206" i="11"/>
  <c r="G206" i="11"/>
  <c r="H206" i="11"/>
  <c r="I206" i="11"/>
  <c r="J206" i="11"/>
  <c r="K206" i="11"/>
  <c r="L206" i="11"/>
  <c r="M206" i="11"/>
  <c r="N206" i="11"/>
  <c r="O206" i="11"/>
  <c r="P206" i="11"/>
  <c r="C207" i="11"/>
  <c r="D207" i="11"/>
  <c r="E207" i="11"/>
  <c r="F207" i="11"/>
  <c r="G207" i="11"/>
  <c r="H207" i="11"/>
  <c r="I207" i="11"/>
  <c r="J207" i="11"/>
  <c r="K207" i="11"/>
  <c r="L207" i="11"/>
  <c r="M207" i="11"/>
  <c r="N207" i="11"/>
  <c r="O207" i="11"/>
  <c r="P207" i="11"/>
  <c r="C208" i="11"/>
  <c r="D208" i="11"/>
  <c r="E208" i="11"/>
  <c r="F208" i="11"/>
  <c r="G208" i="11"/>
  <c r="H208" i="11"/>
  <c r="I208" i="11"/>
  <c r="J208" i="11"/>
  <c r="K208" i="11"/>
  <c r="L208" i="11"/>
  <c r="M208" i="11"/>
  <c r="N208" i="11"/>
  <c r="O208" i="11"/>
  <c r="P208" i="11"/>
  <c r="C209" i="11"/>
  <c r="D209" i="11"/>
  <c r="E209" i="11"/>
  <c r="F209" i="11"/>
  <c r="G209" i="11"/>
  <c r="H209" i="11"/>
  <c r="I209" i="11"/>
  <c r="J209" i="11"/>
  <c r="K209" i="11"/>
  <c r="L209" i="11"/>
  <c r="M209" i="11"/>
  <c r="N209" i="11"/>
  <c r="O209" i="11"/>
  <c r="P209" i="11"/>
  <c r="C210" i="11"/>
  <c r="D210" i="11"/>
  <c r="E210" i="11"/>
  <c r="F210" i="11"/>
  <c r="G210" i="11"/>
  <c r="H210" i="11"/>
  <c r="I210" i="11"/>
  <c r="J210" i="11"/>
  <c r="K210" i="11"/>
  <c r="L210" i="11"/>
  <c r="M210" i="11"/>
  <c r="N210" i="11"/>
  <c r="O210" i="11"/>
  <c r="P210" i="11"/>
  <c r="C211" i="11"/>
  <c r="D211" i="11"/>
  <c r="E211" i="11"/>
  <c r="F211" i="11"/>
  <c r="G211" i="11"/>
  <c r="H211" i="11"/>
  <c r="I211" i="11"/>
  <c r="J211" i="11"/>
  <c r="K211" i="11"/>
  <c r="L211" i="11"/>
  <c r="M211" i="11"/>
  <c r="N211" i="11"/>
  <c r="O211" i="11"/>
  <c r="P211" i="11"/>
  <c r="C212" i="11"/>
  <c r="D212" i="11"/>
  <c r="E212" i="11"/>
  <c r="F212" i="11"/>
  <c r="G212" i="11"/>
  <c r="H212" i="11"/>
  <c r="I212" i="11"/>
  <c r="J212" i="11"/>
  <c r="K212" i="11"/>
  <c r="L212" i="11"/>
  <c r="M212" i="11"/>
  <c r="N212" i="11"/>
  <c r="O212" i="11"/>
  <c r="P212" i="11"/>
  <c r="C213" i="11"/>
  <c r="D213" i="11"/>
  <c r="E213" i="11"/>
  <c r="F213" i="11"/>
  <c r="G213" i="11"/>
  <c r="H213" i="11"/>
  <c r="I213" i="11"/>
  <c r="J213" i="11"/>
  <c r="K213" i="11"/>
  <c r="L213" i="11"/>
  <c r="M213" i="11"/>
  <c r="N213" i="11"/>
  <c r="O213" i="11"/>
  <c r="P213" i="11"/>
  <c r="C214" i="11"/>
  <c r="D214" i="11"/>
  <c r="E214" i="11"/>
  <c r="F214" i="11"/>
  <c r="G214" i="11"/>
  <c r="H214" i="11"/>
  <c r="I214" i="11"/>
  <c r="J214" i="11"/>
  <c r="K214" i="11"/>
  <c r="L214" i="11"/>
  <c r="M214" i="11"/>
  <c r="N214" i="11"/>
  <c r="O214" i="11"/>
  <c r="P214" i="11"/>
  <c r="C215" i="11"/>
  <c r="D215" i="11"/>
  <c r="E215" i="11"/>
  <c r="F215" i="11"/>
  <c r="G215" i="11"/>
  <c r="H215" i="11"/>
  <c r="I215" i="11"/>
  <c r="J215" i="11"/>
  <c r="K215" i="11"/>
  <c r="L215" i="11"/>
  <c r="M215" i="11"/>
  <c r="N215" i="11"/>
  <c r="O215" i="11"/>
  <c r="P215" i="11"/>
  <c r="C216" i="11"/>
  <c r="D216" i="11"/>
  <c r="E216" i="11"/>
  <c r="F216" i="11"/>
  <c r="G216" i="11"/>
  <c r="H216" i="11"/>
  <c r="I216" i="11"/>
  <c r="J216" i="11"/>
  <c r="K216" i="11"/>
  <c r="L216" i="11"/>
  <c r="M216" i="11"/>
  <c r="N216" i="11"/>
  <c r="O216" i="11"/>
  <c r="P216" i="11"/>
  <c r="C217" i="11"/>
  <c r="D217" i="11"/>
  <c r="E217" i="11"/>
  <c r="F217" i="11"/>
  <c r="G217" i="11"/>
  <c r="H217" i="11"/>
  <c r="I217" i="11"/>
  <c r="J217" i="11"/>
  <c r="K217" i="11"/>
  <c r="L217" i="11"/>
  <c r="M217" i="11"/>
  <c r="N217" i="11"/>
  <c r="O217" i="11"/>
  <c r="P217" i="11"/>
  <c r="C218" i="11"/>
  <c r="D218" i="11"/>
  <c r="E218" i="11"/>
  <c r="F218" i="11"/>
  <c r="G218" i="11"/>
  <c r="H218" i="11"/>
  <c r="I218" i="11"/>
  <c r="J218" i="11"/>
  <c r="K218" i="11"/>
  <c r="L218" i="11"/>
  <c r="M218" i="11"/>
  <c r="N218" i="11"/>
  <c r="O218" i="11"/>
  <c r="P218" i="11"/>
  <c r="C219" i="11"/>
  <c r="D219" i="11"/>
  <c r="E219" i="11"/>
  <c r="F219" i="11"/>
  <c r="G219" i="11"/>
  <c r="H219" i="11"/>
  <c r="I219" i="11"/>
  <c r="J219" i="11"/>
  <c r="K219" i="11"/>
  <c r="L219" i="11"/>
  <c r="M219" i="11"/>
  <c r="N219" i="11"/>
  <c r="O219" i="11"/>
  <c r="P219" i="11"/>
  <c r="C220" i="11"/>
  <c r="D220" i="11"/>
  <c r="E220" i="11"/>
  <c r="F220" i="11"/>
  <c r="G220" i="11"/>
  <c r="H220" i="11"/>
  <c r="I220" i="11"/>
  <c r="J220" i="11"/>
  <c r="K220" i="11"/>
  <c r="L220" i="11"/>
  <c r="M220" i="11"/>
  <c r="N220" i="11"/>
  <c r="O220" i="11"/>
  <c r="P220" i="11"/>
  <c r="C221" i="11"/>
  <c r="D221" i="11"/>
  <c r="E221" i="11"/>
  <c r="F221" i="11"/>
  <c r="G221" i="11"/>
  <c r="H221" i="11"/>
  <c r="I221" i="11"/>
  <c r="J221" i="11"/>
  <c r="K221" i="11"/>
  <c r="L221" i="11"/>
  <c r="M221" i="11"/>
  <c r="N221" i="11"/>
  <c r="O221" i="11"/>
  <c r="P221" i="11"/>
  <c r="D205" i="11"/>
  <c r="E205" i="11"/>
  <c r="F205" i="11"/>
  <c r="G205" i="11"/>
  <c r="H205" i="11"/>
  <c r="I205" i="11"/>
  <c r="J205" i="11"/>
  <c r="K205" i="11"/>
  <c r="L205" i="11"/>
  <c r="M205" i="11"/>
  <c r="N205" i="11"/>
  <c r="O205" i="11"/>
  <c r="P205" i="11"/>
  <c r="C205" i="11"/>
  <c r="D182" i="11"/>
  <c r="E182" i="11"/>
  <c r="F182" i="11"/>
  <c r="G182" i="11"/>
  <c r="H182" i="11"/>
  <c r="I182" i="11"/>
  <c r="J182" i="11"/>
  <c r="K182" i="11"/>
  <c r="L182" i="11"/>
  <c r="M182" i="11"/>
  <c r="N182" i="11"/>
  <c r="O182" i="11"/>
  <c r="P182" i="11"/>
  <c r="D183" i="11"/>
  <c r="E183" i="11"/>
  <c r="F183" i="11"/>
  <c r="G183" i="11"/>
  <c r="H183" i="11"/>
  <c r="I183" i="11"/>
  <c r="J183" i="11"/>
  <c r="K183" i="11"/>
  <c r="L183" i="11"/>
  <c r="M183" i="11"/>
  <c r="N183" i="11"/>
  <c r="O183" i="11"/>
  <c r="P183" i="11"/>
  <c r="D184" i="11"/>
  <c r="E184" i="11"/>
  <c r="F184" i="11"/>
  <c r="G184" i="11"/>
  <c r="H184" i="11"/>
  <c r="I184" i="11"/>
  <c r="J184" i="11"/>
  <c r="K184" i="11"/>
  <c r="L184" i="11"/>
  <c r="M184" i="11"/>
  <c r="N184" i="11"/>
  <c r="O184" i="11"/>
  <c r="P184" i="11"/>
  <c r="D185" i="11"/>
  <c r="E185" i="11"/>
  <c r="F185" i="11"/>
  <c r="G185" i="11"/>
  <c r="H185" i="11"/>
  <c r="I185" i="11"/>
  <c r="J185" i="11"/>
  <c r="K185" i="11"/>
  <c r="L185" i="11"/>
  <c r="M185" i="11"/>
  <c r="N185" i="11"/>
  <c r="O185" i="11"/>
  <c r="P185" i="11"/>
  <c r="D186" i="11"/>
  <c r="E186" i="11"/>
  <c r="F186" i="11"/>
  <c r="G186" i="11"/>
  <c r="H186" i="11"/>
  <c r="I186" i="11"/>
  <c r="J186" i="11"/>
  <c r="K186" i="11"/>
  <c r="L186" i="11"/>
  <c r="M186" i="11"/>
  <c r="N186" i="11"/>
  <c r="O186" i="11"/>
  <c r="P186" i="11"/>
  <c r="D187" i="11"/>
  <c r="E187" i="11"/>
  <c r="F187" i="11"/>
  <c r="G187" i="11"/>
  <c r="H187" i="11"/>
  <c r="I187" i="11"/>
  <c r="J187" i="11"/>
  <c r="K187" i="11"/>
  <c r="L187" i="11"/>
  <c r="M187" i="11"/>
  <c r="N187" i="11"/>
  <c r="O187" i="11"/>
  <c r="P187" i="11"/>
  <c r="D188" i="11"/>
  <c r="E188" i="11"/>
  <c r="F188" i="11"/>
  <c r="G188" i="11"/>
  <c r="H188" i="11"/>
  <c r="I188" i="11"/>
  <c r="J188" i="11"/>
  <c r="K188" i="11"/>
  <c r="L188" i="11"/>
  <c r="M188" i="11"/>
  <c r="N188" i="11"/>
  <c r="O188" i="11"/>
  <c r="P188" i="11"/>
  <c r="D189" i="11"/>
  <c r="E189" i="11"/>
  <c r="F189" i="11"/>
  <c r="G189" i="11"/>
  <c r="H189" i="11"/>
  <c r="I189" i="11"/>
  <c r="J189" i="11"/>
  <c r="K189" i="11"/>
  <c r="L189" i="11"/>
  <c r="M189" i="11"/>
  <c r="N189" i="11"/>
  <c r="O189" i="11"/>
  <c r="P189" i="11"/>
  <c r="D190" i="11"/>
  <c r="E190" i="11"/>
  <c r="F190" i="11"/>
  <c r="G190" i="11"/>
  <c r="H190" i="11"/>
  <c r="I190" i="11"/>
  <c r="J190" i="11"/>
  <c r="K190" i="11"/>
  <c r="L190" i="11"/>
  <c r="M190" i="11"/>
  <c r="N190" i="11"/>
  <c r="O190" i="11"/>
  <c r="P190" i="11"/>
  <c r="D191" i="11"/>
  <c r="E191" i="11"/>
  <c r="F191" i="11"/>
  <c r="G191" i="11"/>
  <c r="H191" i="11"/>
  <c r="I191" i="11"/>
  <c r="J191" i="11"/>
  <c r="K191" i="11"/>
  <c r="L191" i="11"/>
  <c r="M191" i="11"/>
  <c r="N191" i="11"/>
  <c r="O191" i="11"/>
  <c r="P191" i="11"/>
  <c r="D192" i="11"/>
  <c r="E192" i="11"/>
  <c r="F192" i="11"/>
  <c r="G192" i="11"/>
  <c r="H192" i="11"/>
  <c r="I192" i="11"/>
  <c r="J192" i="11"/>
  <c r="K192" i="11"/>
  <c r="L192" i="11"/>
  <c r="M192" i="11"/>
  <c r="N192" i="11"/>
  <c r="O192" i="11"/>
  <c r="P192" i="11"/>
  <c r="D193" i="11"/>
  <c r="E193" i="11"/>
  <c r="F193" i="11"/>
  <c r="G193" i="11"/>
  <c r="H193" i="11"/>
  <c r="I193" i="11"/>
  <c r="J193" i="11"/>
  <c r="K193" i="11"/>
  <c r="L193" i="11"/>
  <c r="M193" i="11"/>
  <c r="N193" i="11"/>
  <c r="O193" i="11"/>
  <c r="P193" i="11"/>
  <c r="D194" i="11"/>
  <c r="E194" i="11"/>
  <c r="F194" i="11"/>
  <c r="G194" i="11"/>
  <c r="H194" i="11"/>
  <c r="I194" i="11"/>
  <c r="J194" i="11"/>
  <c r="K194" i="11"/>
  <c r="L194" i="11"/>
  <c r="M194" i="11"/>
  <c r="N194" i="11"/>
  <c r="O194" i="11"/>
  <c r="P194" i="11"/>
  <c r="D195" i="11"/>
  <c r="E195" i="11"/>
  <c r="F195" i="11"/>
  <c r="G195" i="11"/>
  <c r="H195" i="11"/>
  <c r="I195" i="11"/>
  <c r="J195" i="11"/>
  <c r="K195" i="11"/>
  <c r="L195" i="11"/>
  <c r="M195" i="11"/>
  <c r="N195" i="11"/>
  <c r="O195" i="11"/>
  <c r="P195" i="11"/>
  <c r="D196" i="11"/>
  <c r="E196" i="11"/>
  <c r="F196" i="11"/>
  <c r="G196" i="11"/>
  <c r="H196" i="11"/>
  <c r="I196" i="11"/>
  <c r="J196" i="11"/>
  <c r="K196" i="11"/>
  <c r="L196" i="11"/>
  <c r="M196" i="11"/>
  <c r="N196" i="11"/>
  <c r="O196" i="11"/>
  <c r="P196" i="11"/>
  <c r="D181" i="11"/>
  <c r="E181" i="11"/>
  <c r="F181" i="11"/>
  <c r="G181" i="11"/>
  <c r="H181" i="11"/>
  <c r="I181" i="11"/>
  <c r="J181" i="11"/>
  <c r="K181" i="11"/>
  <c r="L181" i="11"/>
  <c r="M181" i="11"/>
  <c r="N181" i="11"/>
  <c r="O181" i="11"/>
  <c r="P181" i="11"/>
  <c r="C182" i="11"/>
  <c r="C183" i="11"/>
  <c r="C184" i="11"/>
  <c r="C185" i="11"/>
  <c r="C186" i="11"/>
  <c r="C187" i="11"/>
  <c r="C188" i="11"/>
  <c r="C189" i="11"/>
  <c r="C190" i="11"/>
  <c r="C191" i="11"/>
  <c r="C192" i="11"/>
  <c r="C193" i="11"/>
  <c r="C194" i="11"/>
  <c r="C195" i="11"/>
  <c r="C196" i="11"/>
  <c r="C181" i="11"/>
  <c r="B181" i="11"/>
  <c r="A181" i="11"/>
  <c r="A166" i="11"/>
  <c r="B166" i="11"/>
  <c r="C166" i="11"/>
  <c r="D166" i="11"/>
  <c r="E166" i="11"/>
  <c r="F166" i="11"/>
  <c r="G166" i="11"/>
  <c r="H166" i="11"/>
  <c r="I166" i="11"/>
  <c r="J166" i="11"/>
  <c r="K166" i="11"/>
  <c r="L166" i="11"/>
  <c r="M166" i="11"/>
  <c r="N166" i="11"/>
  <c r="O166" i="11"/>
  <c r="P166" i="11"/>
  <c r="A167" i="11"/>
  <c r="B167" i="11"/>
  <c r="C167" i="11"/>
  <c r="D167" i="11"/>
  <c r="E167" i="11"/>
  <c r="F167" i="11"/>
  <c r="G167" i="11"/>
  <c r="H167" i="11"/>
  <c r="I167" i="11"/>
  <c r="J167" i="11"/>
  <c r="K167" i="11"/>
  <c r="L167" i="11"/>
  <c r="M167" i="11"/>
  <c r="N167" i="11"/>
  <c r="O167" i="11"/>
  <c r="P167" i="11"/>
  <c r="A168" i="11"/>
  <c r="B168" i="11"/>
  <c r="C168" i="11"/>
  <c r="D168" i="11"/>
  <c r="E168" i="11"/>
  <c r="F168" i="11"/>
  <c r="G168" i="11"/>
  <c r="H168" i="11"/>
  <c r="I168" i="11"/>
  <c r="J168" i="11"/>
  <c r="K168" i="11"/>
  <c r="L168" i="11"/>
  <c r="M168" i="11"/>
  <c r="N168" i="11"/>
  <c r="O168" i="11"/>
  <c r="P168" i="11"/>
  <c r="B151" i="11"/>
  <c r="B152" i="11"/>
  <c r="B153" i="11"/>
  <c r="B154" i="11"/>
  <c r="B155" i="11"/>
  <c r="B156" i="11"/>
  <c r="B157" i="11"/>
  <c r="B158" i="11"/>
  <c r="B159" i="11"/>
  <c r="B160" i="11"/>
  <c r="B161" i="11"/>
  <c r="B162" i="11"/>
  <c r="B163" i="11"/>
  <c r="B164" i="11"/>
  <c r="B165" i="11"/>
  <c r="B150" i="11"/>
  <c r="A151" i="11"/>
  <c r="A152" i="11"/>
  <c r="A153" i="11"/>
  <c r="A154" i="11"/>
  <c r="A155" i="11"/>
  <c r="A156" i="11"/>
  <c r="A157" i="11"/>
  <c r="A158" i="11"/>
  <c r="A159" i="11"/>
  <c r="A160" i="11"/>
  <c r="A161" i="11"/>
  <c r="A162" i="11"/>
  <c r="A163" i="11"/>
  <c r="A164" i="11"/>
  <c r="A165" i="11"/>
  <c r="A150" i="11"/>
  <c r="D151" i="11"/>
  <c r="E151" i="11"/>
  <c r="F151" i="11"/>
  <c r="G151" i="11"/>
  <c r="H151" i="11"/>
  <c r="I151" i="11"/>
  <c r="K151" i="11"/>
  <c r="L151" i="11"/>
  <c r="M151" i="11"/>
  <c r="N151" i="11"/>
  <c r="O151" i="11"/>
  <c r="P151" i="11"/>
  <c r="D152" i="11"/>
  <c r="E152" i="11"/>
  <c r="F152" i="11"/>
  <c r="G152" i="11"/>
  <c r="H152" i="11"/>
  <c r="I152" i="11"/>
  <c r="K152" i="11"/>
  <c r="L152" i="11"/>
  <c r="M152" i="11"/>
  <c r="N152" i="11"/>
  <c r="O152" i="11"/>
  <c r="P152" i="11"/>
  <c r="D153" i="11"/>
  <c r="E153" i="11"/>
  <c r="F153" i="11"/>
  <c r="G153" i="11"/>
  <c r="H153" i="11"/>
  <c r="I153" i="11"/>
  <c r="K153" i="11"/>
  <c r="L153" i="11"/>
  <c r="M153" i="11"/>
  <c r="N153" i="11"/>
  <c r="O153" i="11"/>
  <c r="P153" i="11"/>
  <c r="D154" i="11"/>
  <c r="E154" i="11"/>
  <c r="F154" i="11"/>
  <c r="G154" i="11"/>
  <c r="H154" i="11"/>
  <c r="I154" i="11"/>
  <c r="K154" i="11"/>
  <c r="L154" i="11"/>
  <c r="M154" i="11"/>
  <c r="N154" i="11"/>
  <c r="O154" i="11"/>
  <c r="P154" i="11"/>
  <c r="D155" i="11"/>
  <c r="E155" i="11"/>
  <c r="F155" i="11"/>
  <c r="G155" i="11"/>
  <c r="H155" i="11"/>
  <c r="I155" i="11"/>
  <c r="K155" i="11"/>
  <c r="L155" i="11"/>
  <c r="M155" i="11"/>
  <c r="N155" i="11"/>
  <c r="O155" i="11"/>
  <c r="P155" i="11"/>
  <c r="D156" i="11"/>
  <c r="E156" i="11"/>
  <c r="F156" i="11"/>
  <c r="G156" i="11"/>
  <c r="H156" i="11"/>
  <c r="I156" i="11"/>
  <c r="K156" i="11"/>
  <c r="L156" i="11"/>
  <c r="M156" i="11"/>
  <c r="N156" i="11"/>
  <c r="O156" i="11"/>
  <c r="P156" i="11"/>
  <c r="D157" i="11"/>
  <c r="E157" i="11"/>
  <c r="F157" i="11"/>
  <c r="G157" i="11"/>
  <c r="H157" i="11"/>
  <c r="I157" i="11"/>
  <c r="K157" i="11"/>
  <c r="L157" i="11"/>
  <c r="M157" i="11"/>
  <c r="N157" i="11"/>
  <c r="O157" i="11"/>
  <c r="P157" i="11"/>
  <c r="D158" i="11"/>
  <c r="E158" i="11"/>
  <c r="F158" i="11"/>
  <c r="G158" i="11"/>
  <c r="H158" i="11"/>
  <c r="I158" i="11"/>
  <c r="K158" i="11"/>
  <c r="L158" i="11"/>
  <c r="M158" i="11"/>
  <c r="N158" i="11"/>
  <c r="O158" i="11"/>
  <c r="P158" i="11"/>
  <c r="D159" i="11"/>
  <c r="E159" i="11"/>
  <c r="F159" i="11"/>
  <c r="G159" i="11"/>
  <c r="H159" i="11"/>
  <c r="I159" i="11"/>
  <c r="K159" i="11"/>
  <c r="L159" i="11"/>
  <c r="M159" i="11"/>
  <c r="N159" i="11"/>
  <c r="O159" i="11"/>
  <c r="P159" i="11"/>
  <c r="D160" i="11"/>
  <c r="E160" i="11"/>
  <c r="F160" i="11"/>
  <c r="G160" i="11"/>
  <c r="H160" i="11"/>
  <c r="I160" i="11"/>
  <c r="K160" i="11"/>
  <c r="L160" i="11"/>
  <c r="M160" i="11"/>
  <c r="N160" i="11"/>
  <c r="O160" i="11"/>
  <c r="P160" i="11"/>
  <c r="D161" i="11"/>
  <c r="E161" i="11"/>
  <c r="F161" i="11"/>
  <c r="G161" i="11"/>
  <c r="H161" i="11"/>
  <c r="I161" i="11"/>
  <c r="K161" i="11"/>
  <c r="L161" i="11"/>
  <c r="M161" i="11"/>
  <c r="N161" i="11"/>
  <c r="O161" i="11"/>
  <c r="P161" i="11"/>
  <c r="D162" i="11"/>
  <c r="E162" i="11"/>
  <c r="F162" i="11"/>
  <c r="G162" i="11"/>
  <c r="H162" i="11"/>
  <c r="I162" i="11"/>
  <c r="K162" i="11"/>
  <c r="L162" i="11"/>
  <c r="M162" i="11"/>
  <c r="N162" i="11"/>
  <c r="O162" i="11"/>
  <c r="P162" i="11"/>
  <c r="D163" i="11"/>
  <c r="E163" i="11"/>
  <c r="F163" i="11"/>
  <c r="G163" i="11"/>
  <c r="H163" i="11"/>
  <c r="I163" i="11"/>
  <c r="K163" i="11"/>
  <c r="L163" i="11"/>
  <c r="M163" i="11"/>
  <c r="N163" i="11"/>
  <c r="O163" i="11"/>
  <c r="P163" i="11"/>
  <c r="D164" i="11"/>
  <c r="E164" i="11"/>
  <c r="F164" i="11"/>
  <c r="G164" i="11"/>
  <c r="H164" i="11"/>
  <c r="I164" i="11"/>
  <c r="J164" i="11"/>
  <c r="K164" i="11"/>
  <c r="L164" i="11"/>
  <c r="M164" i="11"/>
  <c r="N164" i="11"/>
  <c r="O164" i="11"/>
  <c r="P164" i="11"/>
  <c r="D165" i="11"/>
  <c r="E165" i="11"/>
  <c r="F165" i="11"/>
  <c r="G165" i="11"/>
  <c r="H165" i="11"/>
  <c r="I165" i="11"/>
  <c r="J165" i="11"/>
  <c r="K165" i="11"/>
  <c r="L165" i="11"/>
  <c r="M165" i="11"/>
  <c r="N165" i="11"/>
  <c r="O165" i="11"/>
  <c r="P165" i="11"/>
  <c r="D150" i="11"/>
  <c r="E150" i="11"/>
  <c r="F150" i="11"/>
  <c r="G150" i="11"/>
  <c r="H150" i="11"/>
  <c r="I150" i="11"/>
  <c r="K150" i="11"/>
  <c r="L150" i="11"/>
  <c r="M150" i="11"/>
  <c r="N150" i="11"/>
  <c r="O150" i="11"/>
  <c r="P150" i="11"/>
  <c r="C151" i="11"/>
  <c r="C152" i="11"/>
  <c r="C153" i="11"/>
  <c r="C154" i="11"/>
  <c r="C155" i="11"/>
  <c r="C156" i="11"/>
  <c r="C157" i="11"/>
  <c r="C158" i="11"/>
  <c r="C159" i="11"/>
  <c r="C160" i="11"/>
  <c r="C161" i="11"/>
  <c r="C162" i="11"/>
  <c r="C163" i="11"/>
  <c r="C164" i="11"/>
  <c r="C165" i="11"/>
  <c r="C150" i="11"/>
  <c r="D116" i="11"/>
  <c r="E116" i="11"/>
  <c r="F116" i="11"/>
  <c r="G116" i="11"/>
  <c r="H116" i="11"/>
  <c r="I116" i="11"/>
  <c r="J116" i="11"/>
  <c r="K116" i="11"/>
  <c r="L116" i="11"/>
  <c r="M116" i="11"/>
  <c r="N116" i="11"/>
  <c r="O116" i="11"/>
  <c r="P116" i="11"/>
  <c r="D117" i="11"/>
  <c r="E117" i="11"/>
  <c r="F117" i="11"/>
  <c r="G117" i="11"/>
  <c r="H117" i="11"/>
  <c r="I117" i="11"/>
  <c r="J117" i="11"/>
  <c r="K117" i="11"/>
  <c r="L117" i="11"/>
  <c r="M117" i="11"/>
  <c r="N117" i="11"/>
  <c r="O117" i="11"/>
  <c r="P117" i="11"/>
  <c r="D118" i="11"/>
  <c r="E118" i="11"/>
  <c r="F118" i="11"/>
  <c r="G118" i="11"/>
  <c r="H118" i="11"/>
  <c r="I118" i="11"/>
  <c r="J118" i="11"/>
  <c r="K118" i="11"/>
  <c r="L118" i="11"/>
  <c r="M118" i="11"/>
  <c r="N118" i="11"/>
  <c r="O118" i="11"/>
  <c r="P118" i="11"/>
  <c r="D119" i="11"/>
  <c r="E119" i="11"/>
  <c r="F119" i="11"/>
  <c r="G119" i="11"/>
  <c r="H119" i="11"/>
  <c r="I119" i="11"/>
  <c r="J119" i="11"/>
  <c r="K119" i="11"/>
  <c r="L119" i="11"/>
  <c r="M119" i="11"/>
  <c r="N119" i="11"/>
  <c r="O119" i="11"/>
  <c r="P119" i="11"/>
  <c r="D120" i="11"/>
  <c r="E120" i="11"/>
  <c r="F120" i="11"/>
  <c r="G120" i="11"/>
  <c r="H120" i="11"/>
  <c r="I120" i="11"/>
  <c r="J120" i="11"/>
  <c r="K120" i="11"/>
  <c r="L120" i="11"/>
  <c r="M120" i="11"/>
  <c r="N120" i="11"/>
  <c r="O120" i="11"/>
  <c r="P120" i="11"/>
  <c r="D121" i="11"/>
  <c r="E121" i="11"/>
  <c r="F121" i="11"/>
  <c r="G121" i="11"/>
  <c r="H121" i="11"/>
  <c r="I121" i="11"/>
  <c r="J121" i="11"/>
  <c r="K121" i="11"/>
  <c r="L121" i="11"/>
  <c r="M121" i="11"/>
  <c r="N121" i="11"/>
  <c r="O121" i="11"/>
  <c r="P121" i="11"/>
  <c r="D122" i="11"/>
  <c r="E122" i="11"/>
  <c r="F122" i="11"/>
  <c r="G122" i="11"/>
  <c r="H122" i="11"/>
  <c r="I122" i="11"/>
  <c r="J122" i="11"/>
  <c r="K122" i="11"/>
  <c r="L122" i="11"/>
  <c r="M122" i="11"/>
  <c r="N122" i="11"/>
  <c r="O122" i="11"/>
  <c r="P122" i="11"/>
  <c r="D123" i="11"/>
  <c r="E123" i="11"/>
  <c r="F123" i="11"/>
  <c r="G123" i="11"/>
  <c r="H123" i="11"/>
  <c r="I123" i="11"/>
  <c r="J123" i="11"/>
  <c r="K123" i="11"/>
  <c r="L123" i="11"/>
  <c r="M123" i="11"/>
  <c r="N123" i="11"/>
  <c r="O123" i="11"/>
  <c r="P123" i="11"/>
  <c r="D124" i="11"/>
  <c r="E124" i="11"/>
  <c r="F124" i="11"/>
  <c r="G124" i="11"/>
  <c r="H124" i="11"/>
  <c r="I124" i="11"/>
  <c r="J124" i="11"/>
  <c r="K124" i="11"/>
  <c r="L124" i="11"/>
  <c r="M124" i="11"/>
  <c r="N124" i="11"/>
  <c r="O124" i="11"/>
  <c r="P124" i="11"/>
  <c r="D125" i="11"/>
  <c r="E125" i="11"/>
  <c r="F125" i="11"/>
  <c r="G125" i="11"/>
  <c r="H125" i="11"/>
  <c r="I125" i="11"/>
  <c r="J125" i="11"/>
  <c r="K125" i="11"/>
  <c r="L125" i="11"/>
  <c r="M125" i="11"/>
  <c r="N125" i="11"/>
  <c r="O125" i="11"/>
  <c r="P125" i="11"/>
  <c r="D126" i="11"/>
  <c r="E126" i="11"/>
  <c r="F126" i="11"/>
  <c r="G126" i="11"/>
  <c r="H126" i="11"/>
  <c r="I126" i="11"/>
  <c r="J126" i="11"/>
  <c r="K126" i="11"/>
  <c r="L126" i="11"/>
  <c r="M126" i="11"/>
  <c r="N126" i="11"/>
  <c r="O126" i="11"/>
  <c r="P126" i="11"/>
  <c r="D127" i="11"/>
  <c r="E127" i="11"/>
  <c r="F127" i="11"/>
  <c r="G127" i="11"/>
  <c r="H127" i="11"/>
  <c r="I127" i="11"/>
  <c r="J127" i="11"/>
  <c r="K127" i="11"/>
  <c r="L127" i="11"/>
  <c r="M127" i="11"/>
  <c r="N127" i="11"/>
  <c r="O127" i="11"/>
  <c r="P127" i="11"/>
  <c r="D128" i="11"/>
  <c r="E128" i="11"/>
  <c r="F128" i="11"/>
  <c r="G128" i="11"/>
  <c r="H128" i="11"/>
  <c r="I128" i="11"/>
  <c r="J128" i="11"/>
  <c r="K128" i="11"/>
  <c r="L128" i="11"/>
  <c r="M128" i="11"/>
  <c r="N128" i="11"/>
  <c r="O128" i="11"/>
  <c r="P128" i="11"/>
  <c r="D129" i="11"/>
  <c r="E129" i="11"/>
  <c r="F129" i="11"/>
  <c r="G129" i="11"/>
  <c r="H129" i="11"/>
  <c r="I129" i="11"/>
  <c r="J129" i="11"/>
  <c r="K129" i="11"/>
  <c r="L129" i="11"/>
  <c r="M129" i="11"/>
  <c r="N129" i="11"/>
  <c r="O129" i="11"/>
  <c r="P129" i="11"/>
  <c r="D130" i="11"/>
  <c r="E130" i="11"/>
  <c r="F130" i="11"/>
  <c r="G130" i="11"/>
  <c r="H130" i="11"/>
  <c r="I130" i="11"/>
  <c r="J130" i="11"/>
  <c r="K130" i="11"/>
  <c r="L130" i="11"/>
  <c r="M130" i="11"/>
  <c r="N130" i="11"/>
  <c r="O130" i="11"/>
  <c r="P130" i="11"/>
  <c r="D115" i="11"/>
  <c r="E115" i="11"/>
  <c r="F115" i="11"/>
  <c r="G115" i="11"/>
  <c r="H115" i="11"/>
  <c r="I115" i="11"/>
  <c r="K115" i="11"/>
  <c r="L115" i="11"/>
  <c r="M115" i="11"/>
  <c r="N115" i="11"/>
  <c r="O115" i="11"/>
  <c r="P115" i="11"/>
  <c r="C116" i="11"/>
  <c r="C117" i="11"/>
  <c r="C118" i="11"/>
  <c r="C119" i="11"/>
  <c r="C120" i="11"/>
  <c r="C121" i="11"/>
  <c r="C122" i="11"/>
  <c r="C123" i="11"/>
  <c r="C124" i="11"/>
  <c r="C125" i="11"/>
  <c r="C126" i="11"/>
  <c r="C127" i="11"/>
  <c r="C128" i="11"/>
  <c r="C129" i="11"/>
  <c r="C130" i="11"/>
  <c r="C115" i="11"/>
  <c r="B116" i="11"/>
  <c r="B117" i="11"/>
  <c r="B118" i="11"/>
  <c r="B119" i="11"/>
  <c r="B120" i="11"/>
  <c r="B121" i="11"/>
  <c r="B122" i="11"/>
  <c r="B123" i="11"/>
  <c r="B124" i="11"/>
  <c r="B125" i="11"/>
  <c r="B126" i="11"/>
  <c r="B127" i="11"/>
  <c r="B128" i="11"/>
  <c r="B129" i="11"/>
  <c r="B130" i="11"/>
  <c r="B115" i="11"/>
  <c r="A116" i="11"/>
  <c r="A117" i="11"/>
  <c r="A118" i="11"/>
  <c r="A119" i="11"/>
  <c r="A120" i="11"/>
  <c r="A121" i="11"/>
  <c r="A122" i="11"/>
  <c r="A123" i="11"/>
  <c r="A124" i="11"/>
  <c r="A125" i="11"/>
  <c r="A126" i="11"/>
  <c r="A127" i="11"/>
  <c r="A128" i="11"/>
  <c r="A129" i="11"/>
  <c r="A130" i="11"/>
  <c r="A115" i="11"/>
  <c r="A110" i="11"/>
  <c r="A109" i="11"/>
  <c r="A108" i="11"/>
  <c r="A107" i="11"/>
  <c r="A106" i="11"/>
  <c r="A105" i="11"/>
  <c r="A104" i="11"/>
  <c r="A103" i="11"/>
  <c r="A102" i="11"/>
  <c r="A101" i="11"/>
  <c r="A100" i="11"/>
  <c r="A99" i="11"/>
  <c r="A98" i="11"/>
  <c r="A97" i="11"/>
  <c r="A96" i="11"/>
  <c r="A95"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58" i="11"/>
  <c r="A57" i="11"/>
  <c r="A56" i="11"/>
  <c r="A55" i="11"/>
  <c r="A54" i="11"/>
  <c r="A53" i="11"/>
  <c r="A52" i="11"/>
  <c r="A51" i="11"/>
  <c r="A50" i="11"/>
  <c r="A49" i="11"/>
  <c r="A48" i="11"/>
  <c r="A47" i="11"/>
  <c r="A46" i="11"/>
  <c r="A45" i="11"/>
  <c r="A44" i="11"/>
  <c r="A38" i="11"/>
  <c r="A37" i="11"/>
  <c r="A36" i="11"/>
  <c r="A35" i="11"/>
  <c r="A34" i="11"/>
  <c r="A33" i="11"/>
  <c r="A32" i="11"/>
  <c r="A31" i="11"/>
  <c r="A30" i="11"/>
  <c r="A29" i="11"/>
  <c r="A28" i="11"/>
  <c r="A27" i="11"/>
  <c r="A26" i="11"/>
  <c r="A25" i="11"/>
  <c r="A24" i="11"/>
  <c r="A23" i="11"/>
  <c r="A16" i="11"/>
  <c r="A15" i="11"/>
  <c r="A14" i="11"/>
  <c r="A13" i="11"/>
  <c r="A12" i="11"/>
  <c r="A11" i="11"/>
  <c r="A10" i="11"/>
  <c r="A9" i="11"/>
  <c r="A8" i="11"/>
  <c r="A7" i="11"/>
  <c r="A6" i="11"/>
  <c r="A5" i="11"/>
  <c r="A4" i="11"/>
  <c r="A3" i="11"/>
  <c r="A2" i="11"/>
  <c r="P110" i="11"/>
  <c r="O110" i="11"/>
  <c r="N110" i="11"/>
  <c r="M110" i="11"/>
  <c r="L110" i="11"/>
  <c r="K110" i="11"/>
  <c r="I110" i="11"/>
  <c r="H110" i="11"/>
  <c r="G110" i="11"/>
  <c r="F110" i="11"/>
  <c r="E110" i="11"/>
  <c r="D110" i="11"/>
  <c r="C110" i="11"/>
  <c r="B110" i="11"/>
  <c r="P109" i="11"/>
  <c r="O109" i="11"/>
  <c r="N109" i="11"/>
  <c r="M109" i="11"/>
  <c r="L109" i="11"/>
  <c r="K109" i="11"/>
  <c r="J109" i="11"/>
  <c r="I109" i="11"/>
  <c r="H109" i="11"/>
  <c r="G109" i="11"/>
  <c r="F109" i="11"/>
  <c r="E109" i="11"/>
  <c r="D109" i="11"/>
  <c r="C109" i="11"/>
  <c r="B109" i="11"/>
  <c r="P108" i="11"/>
  <c r="O108" i="11"/>
  <c r="N108" i="11"/>
  <c r="M108" i="11"/>
  <c r="L108" i="11"/>
  <c r="K108" i="11"/>
  <c r="I108" i="11"/>
  <c r="H108" i="11"/>
  <c r="G108" i="11"/>
  <c r="F108" i="11"/>
  <c r="E108" i="11"/>
  <c r="D108" i="11"/>
  <c r="C108" i="11"/>
  <c r="B108" i="11"/>
  <c r="P107" i="11"/>
  <c r="O107" i="11"/>
  <c r="N107" i="11"/>
  <c r="M107" i="11"/>
  <c r="L107" i="11"/>
  <c r="K107" i="11"/>
  <c r="J107" i="11"/>
  <c r="I107" i="11"/>
  <c r="H107" i="11"/>
  <c r="G107" i="11"/>
  <c r="F107" i="11"/>
  <c r="E107" i="11"/>
  <c r="D107" i="11"/>
  <c r="C107" i="11"/>
  <c r="B107" i="11"/>
  <c r="P106" i="11"/>
  <c r="O106" i="11"/>
  <c r="N106" i="11"/>
  <c r="M106" i="11"/>
  <c r="L106" i="11"/>
  <c r="K106" i="11"/>
  <c r="I106" i="11"/>
  <c r="H106" i="11"/>
  <c r="G106" i="11"/>
  <c r="F106" i="11"/>
  <c r="E106" i="11"/>
  <c r="D106" i="11"/>
  <c r="C106" i="11"/>
  <c r="B106" i="11"/>
  <c r="P105" i="11"/>
  <c r="O105" i="11"/>
  <c r="N105" i="11"/>
  <c r="M105" i="11"/>
  <c r="L105" i="11"/>
  <c r="K105" i="11"/>
  <c r="I105" i="11"/>
  <c r="H105" i="11"/>
  <c r="G105" i="11"/>
  <c r="F105" i="11"/>
  <c r="E105" i="11"/>
  <c r="D105" i="11"/>
  <c r="C105" i="11"/>
  <c r="B105" i="11"/>
  <c r="P104" i="11"/>
  <c r="O104" i="11"/>
  <c r="N104" i="11"/>
  <c r="M104" i="11"/>
  <c r="L104" i="11"/>
  <c r="K104" i="11"/>
  <c r="I104" i="11"/>
  <c r="H104" i="11"/>
  <c r="G104" i="11"/>
  <c r="F104" i="11"/>
  <c r="E104" i="11"/>
  <c r="D104" i="11"/>
  <c r="C104" i="11"/>
  <c r="B104" i="11"/>
  <c r="P103" i="11"/>
  <c r="O103" i="11"/>
  <c r="N103" i="11"/>
  <c r="M103" i="11"/>
  <c r="L103" i="11"/>
  <c r="K103" i="11"/>
  <c r="J103" i="11"/>
  <c r="I103" i="11"/>
  <c r="H103" i="11"/>
  <c r="G103" i="11"/>
  <c r="F103" i="11"/>
  <c r="E103" i="11"/>
  <c r="D103" i="11"/>
  <c r="C103" i="11"/>
  <c r="B103" i="11"/>
  <c r="P102" i="11"/>
  <c r="O102" i="11"/>
  <c r="N102" i="11"/>
  <c r="M102" i="11"/>
  <c r="L102" i="11"/>
  <c r="K102" i="11"/>
  <c r="J102" i="11"/>
  <c r="I102" i="11"/>
  <c r="H102" i="11"/>
  <c r="G102" i="11"/>
  <c r="F102" i="11"/>
  <c r="E102" i="11"/>
  <c r="D102" i="11"/>
  <c r="C102" i="11"/>
  <c r="B102" i="11"/>
  <c r="P101" i="11"/>
  <c r="O101" i="11"/>
  <c r="N101" i="11"/>
  <c r="M101" i="11"/>
  <c r="L101" i="11"/>
  <c r="K101" i="11"/>
  <c r="J101" i="11"/>
  <c r="I101" i="11"/>
  <c r="H101" i="11"/>
  <c r="G101" i="11"/>
  <c r="F101" i="11"/>
  <c r="E101" i="11"/>
  <c r="D101" i="11"/>
  <c r="C101" i="11"/>
  <c r="B101" i="11"/>
  <c r="P100" i="11"/>
  <c r="O100" i="11"/>
  <c r="N100" i="11"/>
  <c r="M100" i="11"/>
  <c r="L100" i="11"/>
  <c r="K100" i="11"/>
  <c r="J100" i="11"/>
  <c r="I100" i="11"/>
  <c r="H100" i="11"/>
  <c r="G100" i="11"/>
  <c r="F100" i="11"/>
  <c r="E100" i="11"/>
  <c r="D100" i="11"/>
  <c r="C100" i="11"/>
  <c r="B100" i="11"/>
  <c r="P99" i="11"/>
  <c r="O99" i="11"/>
  <c r="N99" i="11"/>
  <c r="M99" i="11"/>
  <c r="L99" i="11"/>
  <c r="K99" i="11"/>
  <c r="J99" i="11"/>
  <c r="I99" i="11"/>
  <c r="H99" i="11"/>
  <c r="G99" i="11"/>
  <c r="F99" i="11"/>
  <c r="E99" i="11"/>
  <c r="D99" i="11"/>
  <c r="C99" i="11"/>
  <c r="B99" i="11"/>
  <c r="P98" i="11"/>
  <c r="O98" i="11"/>
  <c r="N98" i="11"/>
  <c r="M98" i="11"/>
  <c r="L98" i="11"/>
  <c r="K98" i="11"/>
  <c r="J98" i="11"/>
  <c r="I98" i="11"/>
  <c r="H98" i="11"/>
  <c r="G98" i="11"/>
  <c r="F98" i="11"/>
  <c r="E98" i="11"/>
  <c r="D98" i="11"/>
  <c r="C98" i="11"/>
  <c r="B98" i="11"/>
  <c r="P97" i="11"/>
  <c r="O97" i="11"/>
  <c r="N97" i="11"/>
  <c r="M97" i="11"/>
  <c r="L97" i="11"/>
  <c r="K97" i="11"/>
  <c r="J97" i="11"/>
  <c r="I97" i="11"/>
  <c r="H97" i="11"/>
  <c r="G97" i="11"/>
  <c r="F97" i="11"/>
  <c r="E97" i="11"/>
  <c r="D97" i="11"/>
  <c r="C97" i="11"/>
  <c r="B97" i="11"/>
  <c r="P96" i="11"/>
  <c r="O96" i="11"/>
  <c r="N96" i="11"/>
  <c r="M96" i="11"/>
  <c r="L96" i="11"/>
  <c r="K96" i="11"/>
  <c r="J96" i="11"/>
  <c r="I96" i="11"/>
  <c r="H96" i="11"/>
  <c r="G96" i="11"/>
  <c r="F96" i="11"/>
  <c r="E96" i="11"/>
  <c r="D96" i="11"/>
  <c r="C96" i="11"/>
  <c r="B96" i="11"/>
  <c r="P95" i="11"/>
  <c r="O95" i="11"/>
  <c r="N95" i="11"/>
  <c r="M95" i="11"/>
  <c r="L95" i="11"/>
  <c r="K95" i="11"/>
  <c r="J95" i="11"/>
  <c r="I95" i="11"/>
  <c r="H95" i="11"/>
  <c r="G95" i="11"/>
  <c r="F95" i="11"/>
  <c r="E95" i="11"/>
  <c r="D95" i="11"/>
  <c r="C95" i="11"/>
  <c r="B95" i="11"/>
  <c r="P89" i="11"/>
  <c r="O89" i="11"/>
  <c r="N89" i="11"/>
  <c r="M89" i="11"/>
  <c r="L89" i="11"/>
  <c r="K89" i="11"/>
  <c r="J89" i="11"/>
  <c r="I89" i="11"/>
  <c r="H89" i="11"/>
  <c r="G89" i="11"/>
  <c r="F89" i="11"/>
  <c r="E89" i="11"/>
  <c r="D89" i="11"/>
  <c r="C89" i="11"/>
  <c r="B89" i="11"/>
  <c r="P88" i="11"/>
  <c r="O88" i="11"/>
  <c r="N88" i="11"/>
  <c r="M88" i="11"/>
  <c r="L88" i="11"/>
  <c r="K88" i="11"/>
  <c r="J88" i="11"/>
  <c r="I88" i="11"/>
  <c r="H88" i="11"/>
  <c r="G88" i="11"/>
  <c r="F88" i="11"/>
  <c r="E88" i="11"/>
  <c r="D88" i="11"/>
  <c r="C88" i="11"/>
  <c r="B88" i="11"/>
  <c r="P87" i="11"/>
  <c r="O87" i="11"/>
  <c r="N87" i="11"/>
  <c r="M87" i="11"/>
  <c r="L87" i="11"/>
  <c r="K87" i="11"/>
  <c r="J87" i="11"/>
  <c r="I87" i="11"/>
  <c r="H87" i="11"/>
  <c r="G87" i="11"/>
  <c r="F87" i="11"/>
  <c r="E87" i="11"/>
  <c r="D87" i="11"/>
  <c r="C87" i="11"/>
  <c r="B87" i="11"/>
  <c r="P86" i="11"/>
  <c r="O86" i="11"/>
  <c r="N86" i="11"/>
  <c r="M86" i="11"/>
  <c r="L86" i="11"/>
  <c r="K86" i="11"/>
  <c r="J86" i="11"/>
  <c r="I86" i="11"/>
  <c r="H86" i="11"/>
  <c r="G86" i="11"/>
  <c r="F86" i="11"/>
  <c r="E86" i="11"/>
  <c r="D86" i="11"/>
  <c r="C86" i="11"/>
  <c r="B86" i="11"/>
  <c r="P85" i="11"/>
  <c r="O85" i="11"/>
  <c r="N85" i="11"/>
  <c r="M85" i="11"/>
  <c r="L85" i="11"/>
  <c r="K85" i="11"/>
  <c r="J85" i="11"/>
  <c r="I85" i="11"/>
  <c r="H85" i="11"/>
  <c r="G85" i="11"/>
  <c r="F85" i="11"/>
  <c r="E85" i="11"/>
  <c r="D85" i="11"/>
  <c r="C85" i="11"/>
  <c r="B85" i="11"/>
  <c r="P84" i="11"/>
  <c r="O84" i="11"/>
  <c r="N84" i="11"/>
  <c r="M84" i="11"/>
  <c r="L84" i="11"/>
  <c r="K84" i="11"/>
  <c r="J84" i="11"/>
  <c r="I84" i="11"/>
  <c r="H84" i="11"/>
  <c r="G84" i="11"/>
  <c r="F84" i="11"/>
  <c r="E84" i="11"/>
  <c r="D84" i="11"/>
  <c r="C84" i="11"/>
  <c r="B84" i="11"/>
  <c r="P83" i="11"/>
  <c r="O83" i="11"/>
  <c r="N83" i="11"/>
  <c r="M83" i="11"/>
  <c r="L83" i="11"/>
  <c r="K83" i="11"/>
  <c r="J83" i="11"/>
  <c r="I83" i="11"/>
  <c r="H83" i="11"/>
  <c r="G83" i="11"/>
  <c r="F83" i="11"/>
  <c r="E83" i="11"/>
  <c r="D83" i="11"/>
  <c r="C83" i="11"/>
  <c r="B83" i="11"/>
  <c r="P82" i="11"/>
  <c r="O82" i="11"/>
  <c r="N82" i="11"/>
  <c r="M82" i="11"/>
  <c r="L82" i="11"/>
  <c r="K82" i="11"/>
  <c r="J82" i="11"/>
  <c r="I82" i="11"/>
  <c r="H82" i="11"/>
  <c r="G82" i="11"/>
  <c r="F82" i="11"/>
  <c r="E82" i="11"/>
  <c r="D82" i="11"/>
  <c r="C82" i="11"/>
  <c r="B82" i="11"/>
  <c r="P81" i="11"/>
  <c r="O81" i="11"/>
  <c r="N81" i="11"/>
  <c r="M81" i="11"/>
  <c r="L81" i="11"/>
  <c r="K81" i="11"/>
  <c r="J81" i="11"/>
  <c r="I81" i="11"/>
  <c r="H81" i="11"/>
  <c r="G81" i="11"/>
  <c r="F81" i="11"/>
  <c r="E81" i="11"/>
  <c r="D81" i="11"/>
  <c r="C81" i="11"/>
  <c r="B81" i="11"/>
  <c r="P80" i="11"/>
  <c r="O80" i="11"/>
  <c r="N80" i="11"/>
  <c r="M80" i="11"/>
  <c r="L80" i="11"/>
  <c r="K80" i="11"/>
  <c r="J80" i="11"/>
  <c r="I80" i="11"/>
  <c r="H80" i="11"/>
  <c r="G80" i="11"/>
  <c r="F80" i="11"/>
  <c r="E80" i="11"/>
  <c r="D80" i="11"/>
  <c r="C80" i="11"/>
  <c r="B80" i="11"/>
  <c r="P79" i="11"/>
  <c r="O79" i="11"/>
  <c r="N79" i="11"/>
  <c r="M79" i="11"/>
  <c r="L79" i="11"/>
  <c r="K79" i="11"/>
  <c r="J79" i="11"/>
  <c r="I79" i="11"/>
  <c r="H79" i="11"/>
  <c r="G79" i="11"/>
  <c r="F79" i="11"/>
  <c r="E79" i="11"/>
  <c r="D79" i="11"/>
  <c r="C79" i="11"/>
  <c r="B79" i="11"/>
  <c r="P78" i="11"/>
  <c r="O78" i="11"/>
  <c r="N78" i="11"/>
  <c r="M78" i="11"/>
  <c r="L78" i="11"/>
  <c r="K78" i="11"/>
  <c r="J78" i="11"/>
  <c r="I78" i="11"/>
  <c r="H78" i="11"/>
  <c r="G78" i="11"/>
  <c r="F78" i="11"/>
  <c r="E78" i="11"/>
  <c r="D78" i="11"/>
  <c r="C78" i="11"/>
  <c r="B78" i="11"/>
  <c r="P77" i="11"/>
  <c r="O77" i="11"/>
  <c r="N77" i="11"/>
  <c r="M77" i="11"/>
  <c r="L77" i="11"/>
  <c r="K77" i="11"/>
  <c r="J77" i="11"/>
  <c r="I77" i="11"/>
  <c r="H77" i="11"/>
  <c r="G77" i="11"/>
  <c r="F77" i="11"/>
  <c r="E77" i="11"/>
  <c r="D77" i="11"/>
  <c r="C77" i="11"/>
  <c r="B77" i="11"/>
  <c r="P76" i="11"/>
  <c r="O76" i="11"/>
  <c r="N76" i="11"/>
  <c r="M76" i="11"/>
  <c r="L76" i="11"/>
  <c r="K76" i="11"/>
  <c r="J76" i="11"/>
  <c r="I76" i="11"/>
  <c r="H76" i="11"/>
  <c r="G76" i="11"/>
  <c r="F76" i="11"/>
  <c r="E76" i="11"/>
  <c r="D76" i="11"/>
  <c r="C76" i="11"/>
  <c r="B76" i="11"/>
  <c r="P75" i="11"/>
  <c r="O75" i="11"/>
  <c r="N75" i="11"/>
  <c r="M75" i="11"/>
  <c r="L75" i="11"/>
  <c r="K75" i="11"/>
  <c r="J75" i="11"/>
  <c r="I75" i="11"/>
  <c r="H75" i="11"/>
  <c r="G75" i="11"/>
  <c r="F75" i="11"/>
  <c r="E75" i="11"/>
  <c r="D75" i="11"/>
  <c r="C75" i="11"/>
  <c r="B75" i="11"/>
  <c r="P74" i="11"/>
  <c r="O74" i="11"/>
  <c r="N74" i="11"/>
  <c r="M74" i="11"/>
  <c r="L74" i="11"/>
  <c r="K74" i="11"/>
  <c r="J74" i="11"/>
  <c r="I74" i="11"/>
  <c r="H74" i="11"/>
  <c r="G74" i="11"/>
  <c r="F74" i="11"/>
  <c r="E74" i="11"/>
  <c r="D74" i="11"/>
  <c r="C74" i="11"/>
  <c r="B74" i="11"/>
  <c r="P73" i="11"/>
  <c r="O73" i="11"/>
  <c r="N73" i="11"/>
  <c r="M73" i="11"/>
  <c r="L73" i="11"/>
  <c r="K73" i="11"/>
  <c r="J73" i="11"/>
  <c r="I73" i="11"/>
  <c r="H73" i="11"/>
  <c r="G73" i="11"/>
  <c r="F73" i="11"/>
  <c r="E73" i="11"/>
  <c r="D73" i="11"/>
  <c r="C73" i="11"/>
  <c r="B73" i="11"/>
  <c r="P72" i="11"/>
  <c r="O72" i="11"/>
  <c r="N72" i="11"/>
  <c r="M72" i="11"/>
  <c r="L72" i="11"/>
  <c r="K72" i="11"/>
  <c r="J72" i="11"/>
  <c r="I72" i="11"/>
  <c r="H72" i="11"/>
  <c r="G72" i="11"/>
  <c r="F72" i="11"/>
  <c r="E72" i="11"/>
  <c r="D72" i="11"/>
  <c r="C72" i="11"/>
  <c r="B72" i="11"/>
  <c r="P71" i="11"/>
  <c r="O71" i="11"/>
  <c r="N71" i="11"/>
  <c r="M71" i="11"/>
  <c r="L71" i="11"/>
  <c r="K71" i="11"/>
  <c r="J71" i="11"/>
  <c r="I71" i="11"/>
  <c r="H71" i="11"/>
  <c r="G71" i="11"/>
  <c r="F71" i="11"/>
  <c r="E71" i="11"/>
  <c r="D71" i="11"/>
  <c r="C71" i="11"/>
  <c r="B71" i="11"/>
  <c r="P70" i="11"/>
  <c r="O70" i="11"/>
  <c r="N70" i="11"/>
  <c r="M70" i="11"/>
  <c r="L70" i="11"/>
  <c r="K70" i="11"/>
  <c r="J70" i="11"/>
  <c r="I70" i="11"/>
  <c r="H70" i="11"/>
  <c r="G70" i="11"/>
  <c r="F70" i="11"/>
  <c r="E70" i="11"/>
  <c r="D70" i="11"/>
  <c r="C70" i="11"/>
  <c r="B70" i="11"/>
  <c r="P69" i="11"/>
  <c r="O69" i="11"/>
  <c r="N69" i="11"/>
  <c r="M69" i="11"/>
  <c r="L69" i="11"/>
  <c r="K69" i="11"/>
  <c r="J69" i="11"/>
  <c r="I69" i="11"/>
  <c r="H69" i="11"/>
  <c r="G69" i="11"/>
  <c r="F69" i="11"/>
  <c r="E69" i="11"/>
  <c r="D69" i="11"/>
  <c r="C69" i="11"/>
  <c r="B69" i="11"/>
  <c r="P68" i="11"/>
  <c r="O68" i="11"/>
  <c r="N68" i="11"/>
  <c r="M68" i="11"/>
  <c r="L68" i="11"/>
  <c r="K68" i="11"/>
  <c r="J68" i="11"/>
  <c r="I68" i="11"/>
  <c r="H68" i="11"/>
  <c r="G68" i="11"/>
  <c r="F68" i="11"/>
  <c r="E68" i="11"/>
  <c r="D68" i="11"/>
  <c r="C68" i="11"/>
  <c r="B68" i="11"/>
  <c r="P67" i="11"/>
  <c r="O67" i="11"/>
  <c r="N67" i="11"/>
  <c r="M67" i="11"/>
  <c r="L67" i="11"/>
  <c r="K67" i="11"/>
  <c r="I67" i="11"/>
  <c r="H67" i="11"/>
  <c r="G67" i="11"/>
  <c r="F67" i="11"/>
  <c r="E67" i="11"/>
  <c r="D67" i="11"/>
  <c r="C67" i="11"/>
  <c r="B67" i="11"/>
  <c r="P66" i="11"/>
  <c r="O66" i="11"/>
  <c r="N66" i="11"/>
  <c r="M66" i="11"/>
  <c r="L66" i="11"/>
  <c r="K66" i="11"/>
  <c r="J66" i="11"/>
  <c r="I66" i="11"/>
  <c r="H66" i="11"/>
  <c r="G66" i="11"/>
  <c r="F66" i="11"/>
  <c r="E66" i="11"/>
  <c r="D66" i="11"/>
  <c r="C66" i="11"/>
  <c r="B66" i="11"/>
  <c r="P65" i="11"/>
  <c r="O65" i="11"/>
  <c r="N65" i="11"/>
  <c r="M65" i="11"/>
  <c r="L65" i="11"/>
  <c r="K65" i="11"/>
  <c r="J65" i="11"/>
  <c r="I65" i="11"/>
  <c r="H65" i="11"/>
  <c r="G65" i="11"/>
  <c r="F65" i="11"/>
  <c r="E65" i="11"/>
  <c r="D65" i="11"/>
  <c r="C65" i="11"/>
  <c r="B65" i="11"/>
  <c r="P58" i="11"/>
  <c r="O58" i="11"/>
  <c r="N58" i="11"/>
  <c r="M58" i="11"/>
  <c r="L58" i="11"/>
  <c r="K58" i="11"/>
  <c r="J58" i="11"/>
  <c r="I58" i="11"/>
  <c r="H58" i="11"/>
  <c r="G58" i="11"/>
  <c r="F58" i="11"/>
  <c r="E58" i="11"/>
  <c r="D58" i="11"/>
  <c r="C58" i="11"/>
  <c r="B58" i="11"/>
  <c r="P57" i="11"/>
  <c r="O57" i="11"/>
  <c r="N57" i="11"/>
  <c r="M57" i="11"/>
  <c r="L57" i="11"/>
  <c r="K57" i="11"/>
  <c r="J57" i="11"/>
  <c r="I57" i="11"/>
  <c r="H57" i="11"/>
  <c r="G57" i="11"/>
  <c r="F57" i="11"/>
  <c r="E57" i="11"/>
  <c r="D57" i="11"/>
  <c r="C57" i="11"/>
  <c r="B57" i="11"/>
  <c r="P56" i="11"/>
  <c r="O56" i="11"/>
  <c r="N56" i="11"/>
  <c r="M56" i="11"/>
  <c r="L56" i="11"/>
  <c r="K56" i="11"/>
  <c r="J56" i="11"/>
  <c r="I56" i="11"/>
  <c r="H56" i="11"/>
  <c r="G56" i="11"/>
  <c r="F56" i="11"/>
  <c r="E56" i="11"/>
  <c r="D56" i="11"/>
  <c r="C56" i="11"/>
  <c r="B56" i="11"/>
  <c r="P55" i="11"/>
  <c r="O55" i="11"/>
  <c r="N55" i="11"/>
  <c r="M55" i="11"/>
  <c r="L55" i="11"/>
  <c r="K55" i="11"/>
  <c r="J55" i="11"/>
  <c r="I55" i="11"/>
  <c r="H55" i="11"/>
  <c r="G55" i="11"/>
  <c r="F55" i="11"/>
  <c r="E55" i="11"/>
  <c r="D55" i="11"/>
  <c r="C55" i="11"/>
  <c r="B55" i="11"/>
  <c r="P54" i="11"/>
  <c r="O54" i="11"/>
  <c r="N54" i="11"/>
  <c r="M54" i="11"/>
  <c r="L54" i="11"/>
  <c r="K54" i="11"/>
  <c r="J54" i="11"/>
  <c r="I54" i="11"/>
  <c r="H54" i="11"/>
  <c r="G54" i="11"/>
  <c r="F54" i="11"/>
  <c r="E54" i="11"/>
  <c r="D54" i="11"/>
  <c r="C54" i="11"/>
  <c r="B54" i="11"/>
  <c r="P53" i="11"/>
  <c r="O53" i="11"/>
  <c r="N53" i="11"/>
  <c r="M53" i="11"/>
  <c r="L53" i="11"/>
  <c r="K53" i="11"/>
  <c r="J53" i="11"/>
  <c r="I53" i="11"/>
  <c r="H53" i="11"/>
  <c r="G53" i="11"/>
  <c r="F53" i="11"/>
  <c r="E53" i="11"/>
  <c r="D53" i="11"/>
  <c r="C53" i="11"/>
  <c r="B53" i="11"/>
  <c r="P52" i="11"/>
  <c r="O52" i="11"/>
  <c r="N52" i="11"/>
  <c r="M52" i="11"/>
  <c r="L52" i="11"/>
  <c r="K52" i="11"/>
  <c r="J52" i="11"/>
  <c r="I52" i="11"/>
  <c r="H52" i="11"/>
  <c r="G52" i="11"/>
  <c r="F52" i="11"/>
  <c r="E52" i="11"/>
  <c r="D52" i="11"/>
  <c r="C52" i="11"/>
  <c r="B52" i="11"/>
  <c r="P51" i="11"/>
  <c r="O51" i="11"/>
  <c r="N51" i="11"/>
  <c r="M51" i="11"/>
  <c r="L51" i="11"/>
  <c r="K51" i="11"/>
  <c r="J51" i="11"/>
  <c r="I51" i="11"/>
  <c r="H51" i="11"/>
  <c r="G51" i="11"/>
  <c r="F51" i="11"/>
  <c r="E51" i="11"/>
  <c r="D51" i="11"/>
  <c r="C51" i="11"/>
  <c r="B51" i="11"/>
  <c r="P50" i="11"/>
  <c r="O50" i="11"/>
  <c r="N50" i="11"/>
  <c r="M50" i="11"/>
  <c r="L50" i="11"/>
  <c r="K50" i="11"/>
  <c r="J50" i="11"/>
  <c r="I50" i="11"/>
  <c r="H50" i="11"/>
  <c r="G50" i="11"/>
  <c r="F50" i="11"/>
  <c r="E50" i="11"/>
  <c r="D50" i="11"/>
  <c r="C50" i="11"/>
  <c r="B50" i="11"/>
  <c r="P49" i="11"/>
  <c r="O49" i="11"/>
  <c r="N49" i="11"/>
  <c r="M49" i="11"/>
  <c r="L49" i="11"/>
  <c r="K49" i="11"/>
  <c r="J49" i="11"/>
  <c r="I49" i="11"/>
  <c r="H49" i="11"/>
  <c r="G49" i="11"/>
  <c r="F49" i="11"/>
  <c r="E49" i="11"/>
  <c r="D49" i="11"/>
  <c r="C49" i="11"/>
  <c r="B49" i="11"/>
  <c r="P48" i="11"/>
  <c r="O48" i="11"/>
  <c r="N48" i="11"/>
  <c r="M48" i="11"/>
  <c r="L48" i="11"/>
  <c r="K48" i="11"/>
  <c r="J48" i="11"/>
  <c r="I48" i="11"/>
  <c r="H48" i="11"/>
  <c r="G48" i="11"/>
  <c r="F48" i="11"/>
  <c r="E48" i="11"/>
  <c r="D48" i="11"/>
  <c r="C48" i="11"/>
  <c r="B48" i="11"/>
  <c r="P47" i="11"/>
  <c r="O47" i="11"/>
  <c r="N47" i="11"/>
  <c r="M47" i="11"/>
  <c r="L47" i="11"/>
  <c r="K47" i="11"/>
  <c r="I47" i="11"/>
  <c r="H47" i="11"/>
  <c r="G47" i="11"/>
  <c r="F47" i="11"/>
  <c r="E47" i="11"/>
  <c r="D47" i="11"/>
  <c r="C47" i="11"/>
  <c r="B47" i="11"/>
  <c r="P46" i="11"/>
  <c r="O46" i="11"/>
  <c r="N46" i="11"/>
  <c r="M46" i="11"/>
  <c r="L46" i="11"/>
  <c r="K46" i="11"/>
  <c r="J46" i="11"/>
  <c r="I46" i="11"/>
  <c r="H46" i="11"/>
  <c r="G46" i="11"/>
  <c r="F46" i="11"/>
  <c r="E46" i="11"/>
  <c r="D46" i="11"/>
  <c r="C46" i="11"/>
  <c r="B46" i="11"/>
  <c r="P45" i="11"/>
  <c r="O45" i="11"/>
  <c r="N45" i="11"/>
  <c r="M45" i="11"/>
  <c r="L45" i="11"/>
  <c r="K45" i="11"/>
  <c r="I45" i="11"/>
  <c r="H45" i="11"/>
  <c r="G45" i="11"/>
  <c r="F45" i="11"/>
  <c r="E45" i="11"/>
  <c r="D45" i="11"/>
  <c r="C45" i="11"/>
  <c r="B45" i="11"/>
  <c r="P44" i="11"/>
  <c r="O44" i="11"/>
  <c r="N44" i="11"/>
  <c r="M44" i="11"/>
  <c r="L44" i="11"/>
  <c r="K44" i="11"/>
  <c r="I44" i="11"/>
  <c r="H44" i="11"/>
  <c r="G44" i="11"/>
  <c r="F44" i="11"/>
  <c r="E44" i="11"/>
  <c r="D44" i="11"/>
  <c r="C44" i="11"/>
  <c r="B44" i="11"/>
  <c r="B38" i="11"/>
  <c r="B37" i="11"/>
  <c r="B36" i="11"/>
  <c r="B35" i="11"/>
  <c r="B34" i="11"/>
  <c r="B33" i="11"/>
  <c r="B32" i="11"/>
  <c r="B31" i="11"/>
  <c r="B30" i="11"/>
  <c r="B29" i="11"/>
  <c r="B28" i="11"/>
  <c r="B27" i="11"/>
  <c r="B26" i="11"/>
  <c r="B25" i="11"/>
  <c r="B24" i="11"/>
  <c r="C23" i="11"/>
  <c r="B23" i="11"/>
  <c r="P16" i="11"/>
  <c r="O16" i="11"/>
  <c r="N16" i="11"/>
  <c r="M16" i="11"/>
  <c r="L16" i="11"/>
  <c r="K16" i="11"/>
  <c r="J16" i="11"/>
  <c r="I16" i="11"/>
  <c r="H16" i="11"/>
  <c r="G16" i="11"/>
  <c r="F16" i="11"/>
  <c r="E16" i="11"/>
  <c r="D16" i="11"/>
  <c r="C16" i="11"/>
  <c r="B16" i="11"/>
  <c r="P15" i="11"/>
  <c r="O15" i="11"/>
  <c r="N15" i="11"/>
  <c r="M15" i="11"/>
  <c r="L15" i="11"/>
  <c r="K15" i="11"/>
  <c r="I15" i="11"/>
  <c r="H15" i="11"/>
  <c r="G15" i="11"/>
  <c r="F15" i="11"/>
  <c r="E15" i="11"/>
  <c r="D15" i="11"/>
  <c r="C15" i="11"/>
  <c r="B15" i="11"/>
  <c r="P14" i="11"/>
  <c r="O14" i="11"/>
  <c r="N14" i="11"/>
  <c r="M14" i="11"/>
  <c r="L14" i="11"/>
  <c r="K14" i="11"/>
  <c r="I14" i="11"/>
  <c r="H14" i="11"/>
  <c r="G14" i="11"/>
  <c r="F14" i="11"/>
  <c r="E14" i="11"/>
  <c r="D14" i="11"/>
  <c r="C14" i="11"/>
  <c r="B14" i="11"/>
  <c r="P13" i="11"/>
  <c r="O13" i="11"/>
  <c r="N13" i="11"/>
  <c r="M13" i="11"/>
  <c r="L13" i="11"/>
  <c r="K13" i="11"/>
  <c r="I13" i="11"/>
  <c r="H13" i="11"/>
  <c r="G13" i="11"/>
  <c r="F13" i="11"/>
  <c r="E13" i="11"/>
  <c r="D13" i="11"/>
  <c r="C13" i="11"/>
  <c r="B13" i="11"/>
  <c r="P12" i="11"/>
  <c r="O12" i="11"/>
  <c r="N12" i="11"/>
  <c r="M12" i="11"/>
  <c r="L12" i="11"/>
  <c r="K12" i="11"/>
  <c r="J12" i="11"/>
  <c r="I12" i="11"/>
  <c r="H12" i="11"/>
  <c r="G12" i="11"/>
  <c r="F12" i="11"/>
  <c r="E12" i="11"/>
  <c r="D12" i="11"/>
  <c r="C12" i="11"/>
  <c r="B12" i="11"/>
  <c r="P11" i="11"/>
  <c r="O11" i="11"/>
  <c r="N11" i="11"/>
  <c r="M11" i="11"/>
  <c r="L11" i="11"/>
  <c r="K11" i="11"/>
  <c r="J11" i="11"/>
  <c r="I11" i="11"/>
  <c r="H11" i="11"/>
  <c r="G11" i="11"/>
  <c r="F11" i="11"/>
  <c r="E11" i="11"/>
  <c r="D11" i="11"/>
  <c r="C11" i="11"/>
  <c r="B11" i="11"/>
  <c r="P10" i="11"/>
  <c r="O10" i="11"/>
  <c r="N10" i="11"/>
  <c r="M10" i="11"/>
  <c r="L10" i="11"/>
  <c r="K10" i="11"/>
  <c r="I10" i="11"/>
  <c r="H10" i="11"/>
  <c r="G10" i="11"/>
  <c r="F10" i="11"/>
  <c r="E10" i="11"/>
  <c r="D10" i="11"/>
  <c r="C10" i="11"/>
  <c r="B10" i="11"/>
  <c r="P9" i="11"/>
  <c r="O9" i="11"/>
  <c r="N9" i="11"/>
  <c r="M9" i="11"/>
  <c r="L9" i="11"/>
  <c r="K9" i="11"/>
  <c r="I9" i="11"/>
  <c r="H9" i="11"/>
  <c r="G9" i="11"/>
  <c r="F9" i="11"/>
  <c r="E9" i="11"/>
  <c r="D9" i="11"/>
  <c r="C9" i="11"/>
  <c r="B9" i="11"/>
  <c r="P8" i="11"/>
  <c r="O8" i="11"/>
  <c r="N8" i="11"/>
  <c r="M8" i="11"/>
  <c r="L8" i="11"/>
  <c r="K8" i="11"/>
  <c r="I8" i="11"/>
  <c r="H8" i="11"/>
  <c r="G8" i="11"/>
  <c r="F8" i="11"/>
  <c r="E8" i="11"/>
  <c r="D8" i="11"/>
  <c r="C8" i="11"/>
  <c r="B8" i="11"/>
  <c r="P7" i="11"/>
  <c r="O7" i="11"/>
  <c r="N7" i="11"/>
  <c r="M7" i="11"/>
  <c r="L7" i="11"/>
  <c r="K7" i="11"/>
  <c r="J7" i="11"/>
  <c r="I7" i="11"/>
  <c r="H7" i="11"/>
  <c r="G7" i="11"/>
  <c r="F7" i="11"/>
  <c r="E7" i="11"/>
  <c r="D7" i="11"/>
  <c r="C7" i="11"/>
  <c r="B7" i="11"/>
  <c r="P6" i="11"/>
  <c r="O6" i="11"/>
  <c r="N6" i="11"/>
  <c r="M6" i="11"/>
  <c r="L6" i="11"/>
  <c r="K6" i="11"/>
  <c r="I6" i="11"/>
  <c r="H6" i="11"/>
  <c r="G6" i="11"/>
  <c r="F6" i="11"/>
  <c r="E6" i="11"/>
  <c r="D6" i="11"/>
  <c r="C6" i="11"/>
  <c r="B6" i="11"/>
  <c r="P5" i="11"/>
  <c r="O5" i="11"/>
  <c r="N5" i="11"/>
  <c r="M5" i="11"/>
  <c r="L5" i="11"/>
  <c r="K5" i="11"/>
  <c r="I5" i="11"/>
  <c r="H5" i="11"/>
  <c r="G5" i="11"/>
  <c r="F5" i="11"/>
  <c r="E5" i="11"/>
  <c r="D5" i="11"/>
  <c r="C5" i="11"/>
  <c r="B5" i="11"/>
  <c r="P4" i="11"/>
  <c r="O4" i="11"/>
  <c r="N4" i="11"/>
  <c r="M4" i="11"/>
  <c r="L4" i="11"/>
  <c r="K4" i="11"/>
  <c r="J4" i="11"/>
  <c r="I4" i="11"/>
  <c r="H4" i="11"/>
  <c r="G4" i="11"/>
  <c r="F4" i="11"/>
  <c r="E4" i="11"/>
  <c r="D4" i="11"/>
  <c r="C4" i="11"/>
  <c r="B4" i="11"/>
  <c r="P3" i="11"/>
  <c r="O3" i="11"/>
  <c r="N3" i="11"/>
  <c r="M3" i="11"/>
  <c r="L3" i="11"/>
  <c r="K3" i="11"/>
  <c r="J3" i="11"/>
  <c r="I3" i="11"/>
  <c r="H3" i="11"/>
  <c r="G3" i="11"/>
  <c r="F3" i="11"/>
  <c r="E3" i="11"/>
  <c r="D3" i="11"/>
  <c r="C3" i="11"/>
  <c r="B3" i="11"/>
  <c r="P2" i="11"/>
  <c r="O2" i="11"/>
  <c r="N2" i="11"/>
  <c r="M2" i="11"/>
  <c r="L2" i="11"/>
  <c r="K2" i="11"/>
  <c r="I2" i="11"/>
  <c r="H2" i="11"/>
  <c r="G2" i="11"/>
  <c r="F2" i="11"/>
  <c r="E2" i="11"/>
  <c r="D2" i="11"/>
  <c r="C2" i="11"/>
  <c r="B2" i="11"/>
  <c r="A182" i="11"/>
  <c r="B182" i="11"/>
  <c r="A183" i="11"/>
  <c r="B183" i="11"/>
  <c r="A184" i="11"/>
  <c r="B184" i="11"/>
  <c r="A185" i="11"/>
  <c r="B185" i="11"/>
  <c r="A186" i="11"/>
  <c r="B186" i="11"/>
  <c r="A187" i="11"/>
  <c r="B187" i="11"/>
  <c r="A188" i="11"/>
  <c r="B188" i="11"/>
  <c r="A189" i="11"/>
  <c r="B189" i="11"/>
  <c r="A190" i="11"/>
  <c r="B190" i="11"/>
  <c r="A191" i="11"/>
  <c r="B191" i="11"/>
  <c r="A192" i="11"/>
  <c r="B192" i="11"/>
  <c r="A193" i="11"/>
  <c r="B193" i="11"/>
  <c r="A194" i="11"/>
  <c r="B194" i="11"/>
  <c r="A195" i="11"/>
  <c r="B195" i="11"/>
  <c r="A196" i="11"/>
  <c r="B196" i="11"/>
  <c r="H5" i="1"/>
  <c r="H4" i="1"/>
  <c r="J2" i="11" s="1"/>
  <c r="H16" i="10"/>
  <c r="H15" i="10"/>
  <c r="H14" i="10"/>
  <c r="H13" i="10"/>
  <c r="H19" i="4"/>
  <c r="H20" i="4"/>
  <c r="H11" i="7"/>
  <c r="J156" i="11" s="1"/>
  <c r="H17" i="4"/>
  <c r="H15" i="4"/>
  <c r="H14" i="4"/>
  <c r="H10" i="4"/>
  <c r="H11" i="4"/>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4" i="10"/>
  <c r="H6" i="1"/>
  <c r="H7" i="1"/>
  <c r="J5" i="11" s="1"/>
  <c r="H8" i="1"/>
  <c r="J6" i="11" s="1"/>
  <c r="H10" i="1"/>
  <c r="J8" i="11" s="1"/>
  <c r="H11" i="1"/>
  <c r="J9" i="11" s="1"/>
  <c r="H13" i="1"/>
  <c r="J10" i="11" s="1"/>
  <c r="H16" i="1"/>
  <c r="J13" i="11" s="1"/>
  <c r="H17" i="1"/>
  <c r="J14" i="11" s="1"/>
  <c r="H18" i="1"/>
  <c r="J15" i="11" s="1"/>
  <c r="H19" i="1"/>
  <c r="H20"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3" i="2"/>
  <c r="J24" i="11" s="1"/>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4" i="9"/>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4" i="8"/>
  <c r="H5" i="7"/>
  <c r="J151" i="11" s="1"/>
  <c r="H6" i="7"/>
  <c r="J152" i="11" s="1"/>
  <c r="H7" i="7"/>
  <c r="J153" i="11" s="1"/>
  <c r="H8" i="7"/>
  <c r="J154" i="11" s="1"/>
  <c r="H9" i="7"/>
  <c r="J155" i="11" s="1"/>
  <c r="H13" i="7"/>
  <c r="J157" i="11" s="1"/>
  <c r="H15" i="7"/>
  <c r="J158" i="11" s="1"/>
  <c r="H16" i="7"/>
  <c r="J159" i="11" s="1"/>
  <c r="H18" i="7"/>
  <c r="J160" i="11" s="1"/>
  <c r="H20" i="7"/>
  <c r="J161" i="11" s="1"/>
  <c r="H22" i="7"/>
  <c r="J162" i="11" s="1"/>
  <c r="H24" i="7"/>
  <c r="J163" i="11" s="1"/>
  <c r="J169" i="11"/>
  <c r="H32" i="7"/>
  <c r="J170" i="11" s="1"/>
  <c r="H33" i="7"/>
  <c r="J171" i="11" s="1"/>
  <c r="H34" i="7"/>
  <c r="J172" i="11" s="1"/>
  <c r="H35" i="7"/>
  <c r="J173" i="11" s="1"/>
  <c r="H36" i="7"/>
  <c r="J174" i="11" s="1"/>
  <c r="H37" i="7"/>
  <c r="J175" i="11" s="1"/>
  <c r="H38" i="7"/>
  <c r="J176" i="11" s="1"/>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4" i="7"/>
  <c r="J150" i="11" s="1"/>
  <c r="J131" i="11"/>
  <c r="J132" i="11"/>
  <c r="J133" i="11"/>
  <c r="J134" i="11"/>
  <c r="J137" i="11"/>
  <c r="J138" i="11"/>
  <c r="J139" i="11"/>
  <c r="J140" i="11"/>
  <c r="J141" i="11"/>
  <c r="H34" i="6"/>
  <c r="J143" i="11" s="1"/>
  <c r="H35" i="6"/>
  <c r="J144" i="11" s="1"/>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4" i="6"/>
  <c r="J115" i="11" s="1"/>
  <c r="H13" i="5"/>
  <c r="J104" i="11" s="1"/>
  <c r="H14" i="5"/>
  <c r="J105" i="11" s="1"/>
  <c r="H15" i="5"/>
  <c r="J106" i="11" s="1"/>
  <c r="H16" i="5"/>
  <c r="H17" i="5"/>
  <c r="J108" i="11" s="1"/>
  <c r="H18" i="5"/>
  <c r="H19" i="5"/>
  <c r="J110" i="11" s="1"/>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J67" i="11"/>
  <c r="H8" i="4"/>
  <c r="H9" i="4"/>
  <c r="H21"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4" i="3"/>
  <c r="J44" i="11" s="1"/>
  <c r="H5" i="3"/>
  <c r="J45" i="11" s="1"/>
  <c r="H6" i="3"/>
  <c r="H7" i="3"/>
  <c r="J47" i="11" s="1"/>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6" i="2"/>
  <c r="J27" i="11" s="1"/>
  <c r="J28" i="11"/>
  <c r="H18" i="2"/>
  <c r="J29" i="11" s="1"/>
  <c r="H19" i="2"/>
  <c r="J30" i="11" s="1"/>
  <c r="H20" i="2"/>
  <c r="J31" i="11" s="1"/>
  <c r="J32" i="11"/>
  <c r="J36" i="11"/>
  <c r="J37" i="11"/>
  <c r="J38" i="11"/>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alcChain>
</file>

<file path=xl/sharedStrings.xml><?xml version="1.0" encoding="utf-8"?>
<sst xmlns="http://schemas.openxmlformats.org/spreadsheetml/2006/main" count="1986" uniqueCount="376">
  <si>
    <t>Design Standards</t>
  </si>
  <si>
    <t>Owner:</t>
  </si>
  <si>
    <t>Channel
(i.e. Public or Secure Web)</t>
  </si>
  <si>
    <t>Domain
(i.e. OMCOZA, OMCOM)</t>
  </si>
  <si>
    <t>Area/Journey
(i.e. Personal, Business)</t>
  </si>
  <si>
    <t>Cluster
(i.e. L&amp;S, Wealth, Bank)</t>
  </si>
  <si>
    <t>Deliverable / Task / Milestone</t>
  </si>
  <si>
    <t>Start Date</t>
  </si>
  <si>
    <t>End Date</t>
  </si>
  <si>
    <t>Effort
(in days)</t>
  </si>
  <si>
    <t>Confidence level to complete it in the number of days assigned?</t>
  </si>
  <si>
    <t>Priority</t>
  </si>
  <si>
    <t>Are your deliverable dependent on an upstream team to complete their work before you can begin?</t>
  </si>
  <si>
    <t>What deliverable are you dependent on?</t>
  </si>
  <si>
    <t xml:space="preserve">Current deliverable / task Status </t>
  </si>
  <si>
    <t>Comments</t>
  </si>
  <si>
    <t>Workstream:</t>
  </si>
  <si>
    <t>Design Delivery</t>
  </si>
  <si>
    <t>Content Readiness</t>
  </si>
  <si>
    <t>Feature Delivery</t>
  </si>
  <si>
    <t>Design Systems</t>
  </si>
  <si>
    <t>Migration</t>
  </si>
  <si>
    <t>Publishing</t>
  </si>
  <si>
    <t>Go-Live Readiness</t>
  </si>
  <si>
    <t>All</t>
  </si>
  <si>
    <t xml:space="preserve">Penetration Testing  Discussion and confirmation </t>
  </si>
  <si>
    <t>High</t>
  </si>
  <si>
    <t>No</t>
  </si>
  <si>
    <t xml:space="preserve">Nothing a discussion point </t>
  </si>
  <si>
    <t>Not Started</t>
  </si>
  <si>
    <t>SEO / Analytics</t>
  </si>
  <si>
    <t>Critical</t>
  </si>
  <si>
    <t>Yes</t>
  </si>
  <si>
    <t>Foundational elements from Design Delivery</t>
  </si>
  <si>
    <t>Blocked</t>
  </si>
  <si>
    <t>Public Web</t>
  </si>
  <si>
    <t>In Progress</t>
  </si>
  <si>
    <t>Started, but had to pause due to rework upstream.</t>
  </si>
  <si>
    <t>Secure Web</t>
  </si>
  <si>
    <t>Brent van Zitters</t>
  </si>
  <si>
    <t>Medium</t>
  </si>
  <si>
    <t>As soon as received</t>
  </si>
  <si>
    <t xml:space="preserve">Qaulity Assurance Approval </t>
  </si>
  <si>
    <t>Low</t>
  </si>
  <si>
    <t xml:space="preserve">Security Approvals </t>
  </si>
  <si>
    <t>All deliveries must be in QA State</t>
  </si>
  <si>
    <t>All deliveries must be in readiness state for Comms to be reviewed and sent to internal team and External T</t>
  </si>
  <si>
    <t xml:space="preserve">Internal Communication  ( Call Centre) - Marketing  Team  Driven </t>
  </si>
  <si>
    <t>Service Now Update</t>
  </si>
  <si>
    <t xml:space="preserve">Executive Approval </t>
  </si>
  <si>
    <t>Approval to go ahead from all other Teams</t>
  </si>
  <si>
    <t xml:space="preserve">Change Management Go Ahead </t>
  </si>
  <si>
    <t xml:space="preserve">Yes </t>
  </si>
  <si>
    <t xml:space="preserve">All  work by teams must be completed </t>
  </si>
  <si>
    <t>OMA</t>
  </si>
  <si>
    <t xml:space="preserve">Engagement with OMAR teams are required in order to  assist them with the recalibration of their plans, the plan must take into account  Navigation and plan changes </t>
  </si>
  <si>
    <t xml:space="preserve">Nothing ,  we need a clears comms plan for OMAR </t>
  </si>
  <si>
    <t xml:space="preserve">Confirm Engagment  Cycle with SEO Team </t>
  </si>
  <si>
    <t xml:space="preserve">None </t>
  </si>
  <si>
    <t xml:space="preserve">Final Approval will be provided by the CMO </t>
  </si>
  <si>
    <t xml:space="preserve">Engagement required to communicate  recalibration  of project to various  OMAR Stakeholder </t>
  </si>
  <si>
    <t>OMAR</t>
  </si>
  <si>
    <t>Portfolio View</t>
  </si>
  <si>
    <t>Content Updates</t>
  </si>
  <si>
    <t>Journeys Optimization</t>
  </si>
  <si>
    <t>TBC</t>
  </si>
  <si>
    <t>Part of the design work that is underway - not included in the number of journeys currently tracked</t>
  </si>
  <si>
    <t xml:space="preserve">Content Updates to be confirmed </t>
  </si>
  <si>
    <t>Complete</t>
  </si>
  <si>
    <t xml:space="preserve"> Funeral and Death Claims </t>
  </si>
  <si>
    <t>Journey Optimisation to be  confirmed</t>
  </si>
  <si>
    <t xml:space="preserve">The dedicated Servicing team has limited availability, with three resources only confirmed until 10 September and one QE rolling off in August. This creates a significant delivery risk, as all required work must be completed  </t>
  </si>
  <si>
    <t xml:space="preserve">Transaction Tracking </t>
  </si>
  <si>
    <t>Lump Sum Injections</t>
  </si>
  <si>
    <t xml:space="preserve">Change Personal Details </t>
  </si>
  <si>
    <t xml:space="preserve">Manage Contributions </t>
  </si>
  <si>
    <t xml:space="preserve">Switch Funds </t>
  </si>
  <si>
    <t>Withdrawals/Disinvestments</t>
  </si>
  <si>
    <t>Change Premium Allocation</t>
  </si>
  <si>
    <t>Easy Plus Sales Jorurney on Public Web</t>
  </si>
  <si>
    <t>.</t>
  </si>
  <si>
    <t xml:space="preserve">product page has   to be updated before this journey can be migrated </t>
  </si>
  <si>
    <t>OMCOM</t>
  </si>
  <si>
    <t>OMAI (Alternatives)</t>
  </si>
  <si>
    <t>Take live in V2 new platform</t>
  </si>
  <si>
    <t>N/A</t>
  </si>
  <si>
    <t>OMCOZA</t>
  </si>
  <si>
    <t xml:space="preserve">Servicing Transaction in  Sec  Web </t>
  </si>
  <si>
    <t>Botswana</t>
  </si>
  <si>
    <t>Publishing of all pages in V2 New platform</t>
  </si>
  <si>
    <t xml:space="preserve">TBC </t>
  </si>
  <si>
    <t xml:space="preserve">Personal </t>
  </si>
  <si>
    <t>Namibia</t>
  </si>
  <si>
    <t>L&amp;S</t>
  </si>
  <si>
    <t>Ghana</t>
  </si>
  <si>
    <t>Kenya</t>
  </si>
  <si>
    <t>Rwanda</t>
  </si>
  <si>
    <t>Uganda</t>
  </si>
  <si>
    <t>Zimbabwe</t>
  </si>
  <si>
    <t xml:space="preserve">2 Pot </t>
  </si>
  <si>
    <t>Design / Design Systems / Development</t>
  </si>
  <si>
    <t>Engagement with OMAR teams is required in order to determine who will be responsible for the publishing work. Work can only begin once all upstream teams have completed their work</t>
  </si>
  <si>
    <t>Entire site</t>
  </si>
  <si>
    <t>Testing in V2 new platform and log bugs</t>
  </si>
  <si>
    <t>JULY - TBC</t>
  </si>
  <si>
    <t>Wayne  &amp; Tebogo</t>
  </si>
  <si>
    <t>Funeral</t>
  </si>
  <si>
    <t>Retirement</t>
  </si>
  <si>
    <t>Flexi Save</t>
  </si>
  <si>
    <t>Personal</t>
  </si>
  <si>
    <t>Record Funeral URL structure based on proposed sunset/consolidated pages.</t>
  </si>
  <si>
    <t>Penetration Testing  has to be done, at no cost to us, we just have to send  URL' for testing - URL of  sites   must be sent Security Team</t>
  </si>
  <si>
    <t>Need to work with Web developers for bug fixes</t>
  </si>
  <si>
    <t>Work with Justin on the urls for this section</t>
  </si>
  <si>
    <t>Record Retirement URL structure based on consolidated pages as per new IA.</t>
  </si>
  <si>
    <t>Record Flexi Save URL structure based on consolidated pages as per new IA.</t>
  </si>
  <si>
    <t>Start building new template pages</t>
  </si>
  <si>
    <t xml:space="preserve">Find Advisor </t>
  </si>
  <si>
    <t>Work can only begin once all upstream teams have completed their work</t>
  </si>
  <si>
    <t>Corporate</t>
  </si>
  <si>
    <t>Wealth</t>
  </si>
  <si>
    <t>Business</t>
  </si>
  <si>
    <t>As is pages</t>
  </si>
  <si>
    <t>Start moving as is pages over to Beta</t>
  </si>
  <si>
    <t xml:space="preserve">Design  </t>
  </si>
  <si>
    <t>Confirm pages and urls for "as is" pages before I can start moving</t>
  </si>
  <si>
    <t>Utility pages</t>
  </si>
  <si>
    <t>About us</t>
  </si>
  <si>
    <t>Careers</t>
  </si>
  <si>
    <t>Bula Tsela</t>
  </si>
  <si>
    <t>LTD</t>
  </si>
  <si>
    <t>Add new Nav, Footer and update IA</t>
  </si>
  <si>
    <t>Beta Testing Ready</t>
  </si>
  <si>
    <t xml:space="preserve">Design - Impact of of new templates on  Find Advisor flow </t>
  </si>
  <si>
    <t xml:space="preserve">Debt Calculator </t>
  </si>
  <si>
    <t xml:space="preserve">Personal Calculator </t>
  </si>
  <si>
    <t xml:space="preserve">Budget  Calculator </t>
  </si>
  <si>
    <t>Income  Tax Calculator</t>
  </si>
  <si>
    <t xml:space="preserve"> Retirement Calculator</t>
  </si>
  <si>
    <t xml:space="preserve">2 Pot Calculator </t>
  </si>
  <si>
    <t xml:space="preserve">Contact Us </t>
  </si>
  <si>
    <t>Analysis  in Progress</t>
  </si>
  <si>
    <t>Add all new redirects for the site</t>
  </si>
  <si>
    <t>n/a</t>
  </si>
  <si>
    <t xml:space="preserve">Analysis in Progress </t>
  </si>
  <si>
    <t xml:space="preserve">BA  Capacity is constrained  due current  BA on medical Leave </t>
  </si>
  <si>
    <t xml:space="preserve">End of Curent PI   front end  Development resources  will move out of cross channel </t>
  </si>
  <si>
    <t xml:space="preserve">SEO Requirements to Dev  Team </t>
  </si>
  <si>
    <t>OM</t>
  </si>
  <si>
    <t xml:space="preserve">Standards on how to creates views on dashboard </t>
  </si>
  <si>
    <t xml:space="preserve">All </t>
  </si>
  <si>
    <t xml:space="preserve">Dashboard Views ( Porffolio Views) </t>
  </si>
  <si>
    <t>Design Page Template for Category &amp; Product Detail pages</t>
  </si>
  <si>
    <t>V2 DesignSystem update</t>
  </si>
  <si>
    <t>Awaiting update to current V2 DesignSystem to allow for different background color</t>
  </si>
  <si>
    <t>August Tasks from here</t>
  </si>
  <si>
    <t>July Tasks from here</t>
  </si>
  <si>
    <t>QE : Automated Testing Framework (LS)</t>
  </si>
  <si>
    <t xml:space="preserve">Ghana </t>
  </si>
  <si>
    <t xml:space="preserve">Travel Insurance Sales Migation </t>
  </si>
  <si>
    <t>Awaiting Page Template drop</t>
  </si>
  <si>
    <t>New Transformation DesignSystem components</t>
  </si>
  <si>
    <t>Awaiting new Transformation DesignSystem components. Uncertain on Effort in Days, quantity &amp; complexity of components unknown.</t>
  </si>
  <si>
    <t xml:space="preserve">Mvest </t>
  </si>
  <si>
    <t>Dev: Navigation components updates public web</t>
  </si>
  <si>
    <t>Personal Loan Application</t>
  </si>
  <si>
    <t xml:space="preserve">Pesonal  Loan Repayment Calculator </t>
  </si>
  <si>
    <t>Designs for their Secure WEB</t>
  </si>
  <si>
    <t>Migration of Secure Web</t>
  </si>
  <si>
    <t>Eswatini</t>
  </si>
  <si>
    <t xml:space="preserve">Funeral Claims - Servicing Journey </t>
  </si>
  <si>
    <t xml:space="preserve">Motor claims - Service Journey </t>
  </si>
  <si>
    <t>Home owners claims- Service Journey</t>
  </si>
  <si>
    <t xml:space="preserve">Home content  claims  Service Journey </t>
  </si>
  <si>
    <t xml:space="preserve">Credit  Life </t>
  </si>
  <si>
    <t>Funeral Claims - Sales Journey</t>
  </si>
  <si>
    <t xml:space="preserve">Motor claims - Sales  Journey </t>
  </si>
  <si>
    <t xml:space="preserve">Home owners claims- Sales Journey </t>
  </si>
  <si>
    <t xml:space="preserve">Service Transactions </t>
  </si>
  <si>
    <t xml:space="preserve">Eswatini Funeral  </t>
  </si>
  <si>
    <t>testing in progress</t>
  </si>
  <si>
    <t>Navigation</t>
  </si>
  <si>
    <t>Templates</t>
  </si>
  <si>
    <t>Design Landing Page Template</t>
  </si>
  <si>
    <t>Design navigation structure based on the IA</t>
  </si>
  <si>
    <t>Complete footer navigation structure based on the IA</t>
  </si>
  <si>
    <t>Design Tenant Template</t>
  </si>
  <si>
    <t>Tenant</t>
  </si>
  <si>
    <t>Design Section Page Template</t>
  </si>
  <si>
    <t>Finalise Category Page Template</t>
  </si>
  <si>
    <t>Entire Site</t>
  </si>
  <si>
    <t>Design navigation solution to allow access to other secure sites</t>
  </si>
  <si>
    <t>MyOM</t>
  </si>
  <si>
    <t>Design Utility Template: Contact Us</t>
  </si>
  <si>
    <t>Design Utility Templates: About Us</t>
  </si>
  <si>
    <t>Design Utility Template: Careers</t>
  </si>
  <si>
    <t>Workstream</t>
  </si>
  <si>
    <t>Owner</t>
  </si>
  <si>
    <t>Channel</t>
  </si>
  <si>
    <t>Domain</t>
  </si>
  <si>
    <t>Area/Journey</t>
  </si>
  <si>
    <t>Cluster</t>
  </si>
  <si>
    <t>Confidence level</t>
  </si>
  <si>
    <t>Upstream dependency?</t>
  </si>
  <si>
    <t>Upstream deliverable</t>
  </si>
  <si>
    <t>Row Labels</t>
  </si>
  <si>
    <t>OMAR / SEO / Analytics</t>
  </si>
  <si>
    <t>(blank)</t>
  </si>
  <si>
    <t>Grand Total</t>
  </si>
  <si>
    <t>Execution</t>
  </si>
  <si>
    <t>OM Bank</t>
  </si>
  <si>
    <t>Finalise Product Page Template</t>
  </si>
  <si>
    <t>Design Utility Template: All Calculators</t>
  </si>
  <si>
    <t>Design Utility Template: Calculators Page</t>
  </si>
  <si>
    <t>Though we have an agreed structure, there is a dependency on brand alignment. Even though there is structure, we may not have stressed tested everything.</t>
  </si>
  <si>
    <t>Natalie Patel</t>
  </si>
  <si>
    <t>Justin</t>
  </si>
  <si>
    <t>Personal Landing</t>
  </si>
  <si>
    <t>Audience landing with enhanced copy</t>
  </si>
  <si>
    <t xml:space="preserve">We need Stakeholder sessions in diaries already locked in for the July Start. Sign-off process defined. </t>
  </si>
  <si>
    <t>Bernice</t>
  </si>
  <si>
    <t>Design readiness</t>
  </si>
  <si>
    <t xml:space="preserve">Invest </t>
  </si>
  <si>
    <t xml:space="preserve">OM BAnk </t>
  </si>
  <si>
    <t>Insure</t>
  </si>
  <si>
    <t>Mapping of new IA and Footer to sxisting site structure</t>
  </si>
  <si>
    <t>Plan</t>
  </si>
  <si>
    <t xml:space="preserve">About </t>
  </si>
  <si>
    <t xml:space="preserve">Insights </t>
  </si>
  <si>
    <t>Generic</t>
  </si>
  <si>
    <t>Copy</t>
  </si>
  <si>
    <t>Finalise generic copy standards</t>
  </si>
  <si>
    <t>Finalise SEO + AIEO standards</t>
  </si>
  <si>
    <t>Structure is agreed, we just need to finalise it with the actual AI and Nav items to display. We also need to remove the ribbon logo and update it as per the interim brand.</t>
  </si>
  <si>
    <t>Old Mutual Design Standards</t>
  </si>
  <si>
    <t>CI</t>
  </si>
  <si>
    <t>Align DS to iterim Brand CI</t>
  </si>
  <si>
    <t>Employees</t>
  </si>
  <si>
    <t>This is about 70% complete, just need to align to approved interim Brand CI</t>
  </si>
  <si>
    <t>This requires input and alignment from who will be providing feedback and approval of templates like this.</t>
  </si>
  <si>
    <t>This work has started</t>
  </si>
  <si>
    <t>Wealth Landing</t>
  </si>
  <si>
    <t>This needs to be further stress tested, but Retirement and Funeral is in a place where we are communicting this to DS.</t>
  </si>
  <si>
    <t>This is about 90% complete, there is some changes based on testing and brand alignment (based on the approved interim brand). The DS team has paused this until we provide the amended nav structure.</t>
  </si>
  <si>
    <t>This is about 90% with the 2 categories designed.</t>
  </si>
  <si>
    <t>This needs to be further stress tested, but Max Investments, Funeral Plan and FlexiSave is in a place where we are communicting this to DS.</t>
  </si>
  <si>
    <t>Corporate Landing</t>
  </si>
  <si>
    <t>Employers</t>
  </si>
  <si>
    <t>We are simply consolidating the contact details into one page.</t>
  </si>
  <si>
    <t>This is about 90% done with 3 product pages completed.</t>
  </si>
  <si>
    <t>The work has started for both desktop and mobile.</t>
  </si>
  <si>
    <t>There is alot of calculators that require alot of input across different product and business clusters.</t>
  </si>
  <si>
    <t>There needs to be alignment around skinning and improving the experience. This does require input from business, product and tech.</t>
  </si>
  <si>
    <t>This work has started.</t>
  </si>
  <si>
    <t>We are using existing content, we just need to consider how to consolidate the content.</t>
  </si>
  <si>
    <t>This requires understanding of the tenants and what they need. So at the moment we can reference OM Bank and Rewards.</t>
  </si>
  <si>
    <t>Design OM Bank Tenant site (structure)</t>
  </si>
  <si>
    <t>Design Rewards Tenant Site</t>
  </si>
  <si>
    <t>Design iWyze Tenant Product Page Template</t>
  </si>
  <si>
    <t>Rewards</t>
  </si>
  <si>
    <t>Insure / iWyze</t>
  </si>
  <si>
    <t>Implement OMCOM into production</t>
  </si>
  <si>
    <t>Dev :Observability Dashboards for various sites (LS)</t>
  </si>
  <si>
    <t>Dev: Omcoza -Licence cutover</t>
  </si>
  <si>
    <t>Dev : Tableu Analytics</t>
  </si>
  <si>
    <t>Stakeholder sign off</t>
  </si>
  <si>
    <t>Current deliverable / task Status</t>
  </si>
  <si>
    <t>Awaiting stakeholder approval</t>
  </si>
  <si>
    <t>New Information Architecture for OMCOZA, New Transformation DesignSystem Nav component</t>
  </si>
  <si>
    <t>Awaiting completed Information Architecture, Awaiting new Transformation DesignSystem Nav component</t>
  </si>
  <si>
    <t>Services</t>
  </si>
  <si>
    <t>This may require input from HC but if we are migrating the content as is, then this could be a simple process.</t>
  </si>
  <si>
    <t>Initial designs have been done, it requires further discussion of how the pieces need to fit.</t>
  </si>
  <si>
    <t>Initial designs has started.</t>
  </si>
  <si>
    <t>Ready</t>
  </si>
  <si>
    <t>Business Landing</t>
  </si>
  <si>
    <t>Protect</t>
  </si>
  <si>
    <t>Guarantee</t>
  </si>
  <si>
    <t>Tools</t>
  </si>
  <si>
    <t>Alignment with Group Marketing</t>
  </si>
  <si>
    <t>We are ready for sign off, it is aligned to brand and are requesting us to send to them for their records.</t>
  </si>
  <si>
    <t>SEO is also in progress with their own standards, so our standards will be a living process and document</t>
  </si>
  <si>
    <t>The Interim Brand CI has been approved, luckily no major changes and just need align DS to brand.</t>
  </si>
  <si>
    <t>Alignment with OM Bank but also OMF</t>
  </si>
  <si>
    <t>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t>
  </si>
  <si>
    <t>We need to have initial conversations around OM Bank and if OMF falls under their domain which means they will need to design and build out their screens and IA.</t>
  </si>
  <si>
    <t>L3+ IA finalisation
Section landing with enhanced copy
Product landing pages (5+) with enhanced copy</t>
  </si>
  <si>
    <t>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t>
  </si>
  <si>
    <t>Rewards is in progress with a redeisgn / revamp. So we will be using their existing structure and content.</t>
  </si>
  <si>
    <t>For the initial migration - we are keeping to their existing structure and content while they go through their redesign.</t>
  </si>
  <si>
    <t>Dev : Modular Template (LS)</t>
  </si>
  <si>
    <t>Dev : Modular Page Components (LS)</t>
  </si>
  <si>
    <t>Dev Applying analytics tracking to CMS (LS)</t>
  </si>
  <si>
    <t>~5</t>
  </si>
  <si>
    <t>Alignment with OMF as well as the actual tenant.</t>
  </si>
  <si>
    <t>Investment &gt; Flexi Save</t>
  </si>
  <si>
    <t>L3+ IA finalisation
URL mapping (Current vs. New URL mapping (Current pages &gt; New IA pages). outlining consolidated sections and pages that will be removed in the new Information Architecture.
Category landing pages (5+) with enhanced copy
Product landing pages (5+) with enhanced copy</t>
  </si>
  <si>
    <t>L3+ IA finalisation
URL mapping (Current vs. New URL mapping (Current pages &gt; New IA pages). outlining consolidated sections and pages that will be removed in the new Information Architecture.
Product landing page with enhanced copy</t>
  </si>
  <si>
    <t>Design and Develop CI Updates onto OMDSv2</t>
  </si>
  <si>
    <t>Design and Develop Top Navigation Component Updates</t>
  </si>
  <si>
    <t>Design and Develop Footer Component Updates</t>
  </si>
  <si>
    <t>Design and Develop Card Component Updates</t>
  </si>
  <si>
    <t>Design and Develop Category Page Template</t>
  </si>
  <si>
    <t>Design and Develop Product Detail Page Template</t>
  </si>
  <si>
    <t>Design and Develop Article Page Template</t>
  </si>
  <si>
    <t>Design and Develop Hero Banner Component Updates</t>
  </si>
  <si>
    <t>Design and Develop Landing page template</t>
  </si>
  <si>
    <t>Design and Develop Section page template</t>
  </si>
  <si>
    <t>Information Architecture Stakeholder Socialisation &amp; Sign Off (L1 - L3)</t>
  </si>
  <si>
    <t>Migrated OMCOZA site</t>
  </si>
  <si>
    <t>Add copy standards to OMDS</t>
  </si>
  <si>
    <t>Design and Develop tenant template</t>
  </si>
  <si>
    <t>Design and Develop Utility Template: Contact Us</t>
  </si>
  <si>
    <t>Design and Develop Utility Template: All Calculators</t>
  </si>
  <si>
    <t xml:space="preserve">We need stakeholder sessions in diaries already locked in for the the programme duration. Sign-off process defined. </t>
  </si>
  <si>
    <t>Design and Develop Utility Template: Calculators Page</t>
  </si>
  <si>
    <t>Design and Develop Utility Templates: About Us</t>
  </si>
  <si>
    <t>Design and Develop Utility Template: Careers</t>
  </si>
  <si>
    <t>Learn Think Do (LTD)</t>
  </si>
  <si>
    <t>OMAR: Kenya</t>
  </si>
  <si>
    <t xml:space="preserve">Socilaisation of defined IA and Page templates for handover. </t>
  </si>
  <si>
    <t>Copy enhancement + link mapping dependent on design activities</t>
  </si>
  <si>
    <t>OMAR: Zimbabwe</t>
  </si>
  <si>
    <t>Invest Flexi Save</t>
  </si>
  <si>
    <t>Personal landing page</t>
  </si>
  <si>
    <t xml:space="preserve">Resource  constraints  2 people looking after 2 platforms </t>
  </si>
  <si>
    <t>Resources shared between Botswana and Eswatini</t>
  </si>
  <si>
    <t>in Progress</t>
  </si>
  <si>
    <t>My OldMutual</t>
  </si>
  <si>
    <t xml:space="preserve">
Public &gt; Secure | Secure &gt; Public Transition.
Access to other secure sites.
Service tree definition (E.g. Product &gt; Payment or Payment Hub &gt; Product selection).
IA + Navigation flow (Primary noun architecture).
Potential Template impact (E.g. Dashboard).
Customer validation.</t>
  </si>
  <si>
    <r>
      <rPr>
        <b/>
        <sz val="11"/>
        <color rgb="FF000000"/>
        <rFont val="Aptos Narrow"/>
      </rPr>
      <t xml:space="preserve">Dependencies
</t>
    </r>
    <r>
      <rPr>
        <sz val="11"/>
        <color rgb="FF000000"/>
        <rFont val="Aptos Narrow"/>
      </rPr>
      <t xml:space="preserve">
*</t>
    </r>
    <r>
      <rPr>
        <b/>
        <sz val="11"/>
        <color rgb="FF000000"/>
        <rFont val="Aptos Narrow"/>
      </rPr>
      <t xml:space="preserve"> Stakeholder socialisation and buy-in:</t>
    </r>
    <r>
      <rPr>
        <sz val="11"/>
        <color rgb="FF000000"/>
        <rFont val="Aptos Narrow"/>
      </rPr>
      <t xml:space="preserve"> Must be completed prior to engagement commencing.
* </t>
    </r>
    <r>
      <rPr>
        <b/>
        <sz val="11"/>
        <color rgb="FF000000"/>
        <rFont val="Aptos Narrow"/>
      </rPr>
      <t xml:space="preserve">Active stakeholder participation is required throughout: </t>
    </r>
    <r>
      <rPr>
        <sz val="11"/>
        <color rgb="FF000000"/>
        <rFont val="Aptos Narrow"/>
      </rPr>
      <t xml:space="preserve">As extended team members and thinking partners, not passive reviewers.
* </t>
    </r>
    <r>
      <rPr>
        <b/>
        <sz val="11"/>
        <color rgb="FF000000"/>
        <rFont val="Aptos Narrow"/>
      </rPr>
      <t xml:space="preserve">A clearly defined sign-off process: </t>
    </r>
    <r>
      <rPr>
        <sz val="11"/>
        <color rgb="FF000000"/>
        <rFont val="Aptos Narrow"/>
      </rPr>
      <t xml:space="preserve">Must be in place before work begins.
</t>
    </r>
    <r>
      <rPr>
        <b/>
        <sz val="11"/>
        <color rgb="FF000000"/>
        <rFont val="Aptos Narrow"/>
      </rPr>
      <t xml:space="preserve">Risks
</t>
    </r>
    <r>
      <rPr>
        <sz val="11"/>
        <color rgb="FF000000"/>
        <rFont val="Aptos Narrow"/>
      </rPr>
      <t xml:space="preserve">
</t>
    </r>
    <r>
      <rPr>
        <b/>
        <sz val="11"/>
        <color rgb="FF000000"/>
        <rFont val="Aptos Narrow"/>
      </rPr>
      <t>* SEO standards not finalised:</t>
    </r>
    <r>
      <rPr>
        <sz val="11"/>
        <color rgb="FF000000"/>
        <rFont val="Aptos Narrow"/>
      </rPr>
      <t xml:space="preserve"> SEO governance is still being developed. Content decisions may need to be revisited as standards are finalised, making this a living document process rather than a single sign-off.
</t>
    </r>
    <r>
      <rPr>
        <b/>
        <sz val="11"/>
        <color rgb="FF000000"/>
        <rFont val="Aptos Narrow"/>
      </rPr>
      <t xml:space="preserve">* Tenant hierarchy misalignment: </t>
    </r>
    <r>
      <rPr>
        <sz val="11"/>
        <color rgb="FF000000"/>
        <rFont val="Aptos Narrow"/>
      </rPr>
      <t xml:space="preserve">Some clusters (e.g. OM Insure) have not yet aligned to sharing a platform / real estate with internal tenant brands (e.g. iWyze). This has the potential to create structural conflict in our section and category templates and may require additional stakeholder resolution time.
</t>
    </r>
    <r>
      <rPr>
        <b/>
        <sz val="11"/>
        <color rgb="FF000000"/>
        <rFont val="Aptos Narrow"/>
      </rPr>
      <t xml:space="preserve">* Scope creep: </t>
    </r>
    <r>
      <rPr>
        <sz val="11"/>
        <color rgb="FF000000"/>
        <rFont val="Aptos Narrow"/>
      </rPr>
      <t xml:space="preserve">Timelines are based on an agreed list of sites (OMCOZA, OMCOM, Bula Tsela, and LTD) and agreed scope. Any additional sites or out-of-scope requests will require a formal timeline and resource extension.  </t>
    </r>
    <r>
      <rPr>
        <b/>
        <sz val="11"/>
        <color rgb="FF000000"/>
        <rFont val="Aptos Narrow"/>
      </rPr>
      <t xml:space="preserve">Web and My Old Mutual (Secure): </t>
    </r>
    <r>
      <rPr>
        <sz val="11"/>
        <color rgb="FF000000"/>
        <rFont val="Aptos Narrow"/>
      </rPr>
      <t xml:space="preserve">Unfamiliar territory - Additional timeshas been allocated to them, however, we have a number of unknowns in those two streams. </t>
    </r>
  </si>
  <si>
    <t>ALL SITES IN SCOPE</t>
  </si>
  <si>
    <t>Kick-of recruitment process for additional capacity 
Vendor briefing
CV review
Interviews
Candidate selection 
Onboarding</t>
  </si>
  <si>
    <t>RESOURCE RECRUITMENT</t>
  </si>
  <si>
    <t>Customer Expirience Tool</t>
  </si>
  <si>
    <t xml:space="preserve">Tool Evaluating </t>
  </si>
  <si>
    <t>Record url structure based on all AS is pages (keep/remove/consolidate)</t>
  </si>
  <si>
    <t>Record url structure for all remaining Personal pages (keep/remove/consolidate)</t>
  </si>
  <si>
    <t>Design/content</t>
  </si>
  <si>
    <t>Tool still in evaluation tool</t>
  </si>
  <si>
    <t>Record url structure for all remaining Corporate pages (keep/remove/consolidate)</t>
  </si>
  <si>
    <t>Record url structure for all remaining Utility pages (keep/remove/consolidate)</t>
  </si>
  <si>
    <t>About Us</t>
  </si>
  <si>
    <t>Record url structure for all remaining About us pages (keep/remove/consolidate)</t>
  </si>
  <si>
    <t>Record url structure for all remaining Careers pages (keep/remove/consolidate)</t>
  </si>
  <si>
    <t>Record url structure for all remaining Business pages (keep/remove/consolidate)</t>
  </si>
  <si>
    <t>OTHER STREAMS</t>
  </si>
  <si>
    <t>OTHER AREAS</t>
  </si>
  <si>
    <t>SECURE</t>
  </si>
  <si>
    <t>Data Workshop</t>
  </si>
  <si>
    <t>Leads Spreadsheet</t>
  </si>
  <si>
    <t>Master</t>
  </si>
  <si>
    <t xml:space="preserve">Roadmap + Critical </t>
  </si>
  <si>
    <t xml:space="preserve">OMAR </t>
  </si>
  <si>
    <t>Publishing requirements for OMAR, logged on OMAR tab</t>
  </si>
  <si>
    <t>Go live date will be determined in the next PI Planning</t>
  </si>
  <si>
    <t>Redirect entry needs to be added for all urls that were changed. This can only be added once the new site is live.</t>
  </si>
  <si>
    <t>Engagement with OMAR teams is required in order to determine who will be responsible for the publishing work. Work can only begin once all upstream teams have completed their work. This is also recorded in more detail in the OMAR tab.</t>
  </si>
  <si>
    <t>Dev: Co-locating Content &amp; Analytics Tagging</t>
  </si>
  <si>
    <t>Creating new content_types and updating existing content_types in ContentStack</t>
  </si>
  <si>
    <t>OMCOZA, OMCOM, Bula-tsela, Malawi</t>
  </si>
  <si>
    <t>Dev: Applying Analytics Tracking to V2 Components</t>
  </si>
  <si>
    <t>Awaits co-location of Content with Analytics Tagging in ContentStack (where applicable)</t>
  </si>
  <si>
    <t>Dev: DevOps Quality Gate Pipeline</t>
  </si>
  <si>
    <t>QE: Automated Testing Framework</t>
  </si>
  <si>
    <t>Dev/QE: DevOps - Integrate Automated Testing</t>
  </si>
  <si>
    <t>Dev: Observability Dashboard Templates for Sites</t>
  </si>
  <si>
    <t>Dev: Styling Backwards Compatibility - V2 ModularPage</t>
  </si>
  <si>
    <t>DesignSystem V2 Styling updates for background</t>
  </si>
  <si>
    <t>Dev: Styling Backwards Compatibility - V2 ArticleModularPage</t>
  </si>
  <si>
    <t>Dev: Export Analytics Data into Tableau</t>
  </si>
  <si>
    <t>Requires understanding of data sources, data destination, access credentials to involved systems</t>
  </si>
  <si>
    <t>Dev: Configuring Web Transformation Page Template in ContentStack</t>
  </si>
  <si>
    <t>Web Transformation Page Template</t>
  </si>
  <si>
    <t>Requires at least Web Transformation Page Template red-zones</t>
  </si>
  <si>
    <t>Dev: Update Page Rendering Pipeline to support WT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</si>
</sst>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Aptos Narrow"/>
      <family val="2"/>
      <scheme val="minor"/>
    </font>
    <font>
      <b/>
      <sz val="14"/>
      <color theme="0"/>
      <name val="Montserrat"/>
    </font>
    <font>
      <b/>
      <sz val="10"/>
      <color theme="0"/>
      <name val="Montserrat"/>
    </font>
    <font>
      <sz val="10"/>
      <color theme="4" tint="-0.249977111117893"/>
      <name val="Montserrat"/>
    </font>
    <font>
      <b/>
      <sz val="14"/>
      <color theme="4" tint="-0.249977111117893"/>
      <name val="Montserrat"/>
    </font>
    <font>
      <b/>
      <sz val="10"/>
      <color theme="4" tint="-0.249977111117893"/>
      <name val="Montserrat"/>
    </font>
    <font>
      <sz val="8"/>
      <name val="Aptos Narrow"/>
      <family val="2"/>
      <scheme val="minor"/>
    </font>
    <font>
      <sz val="10"/>
      <color rgb="FF104861"/>
      <name val="Montserrat"/>
    </font>
    <font>
      <sz val="11"/>
      <color theme="0"/>
      <name val="Aptos Narrow"/>
      <family val="2"/>
      <scheme val="minor"/>
    </font>
    <font>
      <sz val="10"/>
      <color theme="8"/>
      <name val="Montserrat"/>
    </font>
    <font>
      <sz val="10"/>
      <color theme="6"/>
      <name val="Montserrat"/>
    </font>
    <font>
      <sz val="10"/>
      <color theme="5"/>
      <name val="Montserrat"/>
    </font>
    <font>
      <b/>
      <sz val="11"/>
      <color rgb="FF000000"/>
      <name val="Aptos Narrow"/>
    </font>
    <font>
      <sz val="11"/>
      <color rgb="FF000000"/>
      <name val="Aptos Narrow"/>
    </font>
    <font>
      <b/>
      <sz val="10"/>
      <color rgb="FFFF0000"/>
      <name val="Montserrat"/>
    </font>
  </fonts>
  <fills count="10">
    <fill>
      <patternFill patternType="none"/>
    </fill>
    <fill>
      <patternFill patternType="gray125"/>
    </fill>
    <fill>
      <patternFill patternType="solid">
        <fgColor rgb="FF0070C0"/>
        <bgColor indexed="64"/>
      </patternFill>
    </fill>
    <fill>
      <patternFill patternType="solid">
        <fgColor rgb="FFFFC000"/>
        <bgColor indexed="64"/>
      </patternFill>
    </fill>
    <fill>
      <patternFill patternType="solid">
        <fgColor theme="2" tint="-0.499984740745262"/>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4" tint="-0.249977111117893"/>
        <bgColor indexed="64"/>
      </patternFill>
    </fill>
  </fills>
  <borders count="10">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indexed="64"/>
      </bottom>
      <diagonal/>
    </border>
  </borders>
  <cellStyleXfs count="1">
    <xf numFmtId="0" fontId="0" fillId="0" borderId="0"/>
  </cellStyleXfs>
  <cellXfs count="72">
    <xf numFmtId="0" fontId="0" fillId="0" borderId="0" xfId="0"/>
    <xf numFmtId="0" fontId="1" fillId="2" borderId="2" xfId="0" applyFont="1" applyFill="1" applyBorder="1" applyAlignment="1">
      <alignment vertical="center" wrapText="1"/>
    </xf>
    <xf numFmtId="0" fontId="3" fillId="0" borderId="4" xfId="0" applyFont="1" applyBorder="1" applyAlignment="1">
      <alignment horizontal="left"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 fillId="4" borderId="2" xfId="0" applyFont="1" applyFill="1" applyBorder="1" applyAlignment="1">
      <alignment vertical="center" wrapText="1"/>
    </xf>
    <xf numFmtId="0" fontId="2" fillId="4"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5" borderId="2" xfId="0" applyFont="1" applyFill="1" applyBorder="1" applyAlignment="1">
      <alignment vertical="center" wrapText="1"/>
    </xf>
    <xf numFmtId="0" fontId="5" fillId="5" borderId="2"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 fillId="6" borderId="2" xfId="0" applyFont="1" applyFill="1" applyBorder="1" applyAlignment="1">
      <alignment vertical="center" wrapText="1"/>
    </xf>
    <xf numFmtId="0" fontId="2" fillId="6" borderId="2"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4" fillId="7" borderId="2" xfId="0" applyFont="1" applyFill="1" applyBorder="1" applyAlignment="1">
      <alignment vertical="center" wrapText="1"/>
    </xf>
    <xf numFmtId="0" fontId="5" fillId="7" borderId="2"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4" fillId="8" borderId="2" xfId="0" applyFont="1" applyFill="1" applyBorder="1" applyAlignment="1">
      <alignment vertical="center" wrapText="1"/>
    </xf>
    <xf numFmtId="0" fontId="5" fillId="8" borderId="2"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3" xfId="0" applyFont="1" applyFill="1" applyBorder="1" applyAlignment="1">
      <alignment horizontal="center" vertical="center" wrapText="1"/>
    </xf>
    <xf numFmtId="14" fontId="3" fillId="0" borderId="4" xfId="0" applyNumberFormat="1" applyFont="1" applyBorder="1" applyAlignment="1">
      <alignment horizontal="left" vertical="center" wrapText="1"/>
    </xf>
    <xf numFmtId="164" fontId="3" fillId="0" borderId="4" xfId="0" applyNumberFormat="1" applyFont="1" applyBorder="1" applyAlignment="1">
      <alignment horizontal="left" vertical="center" wrapText="1"/>
    </xf>
    <xf numFmtId="9" fontId="3" fillId="0" borderId="4" xfId="0" applyNumberFormat="1" applyFont="1" applyBorder="1" applyAlignment="1">
      <alignment horizontal="left" vertical="center" wrapText="1"/>
    </xf>
    <xf numFmtId="0" fontId="0" fillId="0" borderId="0" xfId="0" applyAlignment="1">
      <alignment horizontal="center" vertical="center"/>
    </xf>
    <xf numFmtId="1" fontId="3" fillId="0" borderId="4" xfId="0" applyNumberFormat="1" applyFont="1" applyBorder="1" applyAlignment="1">
      <alignment horizontal="center" vertical="center" wrapText="1"/>
    </xf>
    <xf numFmtId="0" fontId="0" fillId="0" borderId="0" xfId="0" applyAlignment="1">
      <alignment horizontal="center"/>
    </xf>
    <xf numFmtId="0" fontId="3" fillId="0" borderId="4" xfId="0" applyFont="1" applyBorder="1" applyAlignment="1">
      <alignment horizontal="center" vertical="center" wrapText="1"/>
    </xf>
    <xf numFmtId="0" fontId="2" fillId="2" borderId="0" xfId="0" applyFont="1" applyFill="1" applyAlignment="1">
      <alignment horizontal="center" vertical="center" wrapText="1"/>
    </xf>
    <xf numFmtId="0" fontId="5" fillId="8" borderId="0" xfId="0" applyFont="1" applyFill="1" applyAlignment="1">
      <alignment horizontal="center" vertical="center" wrapText="1"/>
    </xf>
    <xf numFmtId="0" fontId="5" fillId="7" borderId="0" xfId="0" applyFont="1" applyFill="1" applyAlignment="1">
      <alignment horizontal="center" vertical="center" wrapText="1"/>
    </xf>
    <xf numFmtId="0" fontId="2" fillId="6" borderId="0" xfId="0" applyFont="1" applyFill="1" applyAlignment="1">
      <alignment horizontal="center" vertical="center" wrapText="1"/>
    </xf>
    <xf numFmtId="0" fontId="5" fillId="5" borderId="0" xfId="0" applyFont="1" applyFill="1" applyAlignment="1">
      <alignment horizontal="center" vertical="center" wrapText="1"/>
    </xf>
    <xf numFmtId="0" fontId="2" fillId="4" borderId="0" xfId="0" applyFont="1" applyFill="1" applyAlignment="1">
      <alignment horizontal="center" vertical="center" wrapText="1"/>
    </xf>
    <xf numFmtId="0" fontId="5" fillId="3" borderId="0" xfId="0" applyFont="1" applyFill="1" applyAlignment="1">
      <alignment horizontal="center" vertical="center" wrapText="1"/>
    </xf>
    <xf numFmtId="0" fontId="3" fillId="0" borderId="2" xfId="0" applyFont="1" applyBorder="1" applyAlignment="1">
      <alignment wrapText="1"/>
    </xf>
    <xf numFmtId="0" fontId="3" fillId="0" borderId="4" xfId="0" applyFont="1" applyBorder="1" applyAlignment="1">
      <alignment wrapText="1"/>
    </xf>
    <xf numFmtId="0" fontId="7" fillId="0" borderId="0" xfId="0" applyFont="1"/>
    <xf numFmtId="14" fontId="5" fillId="0" borderId="4" xfId="0" applyNumberFormat="1" applyFont="1" applyBorder="1" applyAlignment="1">
      <alignment horizontal="left" vertical="center" wrapText="1"/>
    </xf>
    <xf numFmtId="14" fontId="3" fillId="0" borderId="4" xfId="0" applyNumberFormat="1"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left" vertical="center" wrapText="1"/>
    </xf>
    <xf numFmtId="0" fontId="11" fillId="0" borderId="4" xfId="0" applyFont="1" applyBorder="1" applyAlignment="1">
      <alignment horizontal="left" vertical="center" wrapText="1"/>
    </xf>
    <xf numFmtId="0" fontId="0" fillId="0" borderId="0" xfId="0" applyAlignment="1">
      <alignment vertical="center"/>
    </xf>
    <xf numFmtId="0" fontId="8" fillId="9" borderId="0" xfId="0" applyFont="1" applyFill="1" applyAlignment="1">
      <alignment vertical="center"/>
    </xf>
    <xf numFmtId="14" fontId="0" fillId="0" borderId="0" xfId="0" applyNumberFormat="1"/>
    <xf numFmtId="0" fontId="0" fillId="0" borderId="0" xfId="0" applyAlignment="1">
      <alignment horizontal="left"/>
    </xf>
    <xf numFmtId="9" fontId="0" fillId="0" borderId="0" xfId="0" applyNumberFormat="1"/>
    <xf numFmtId="0" fontId="3" fillId="0" borderId="6" xfId="0" applyFont="1" applyBorder="1" applyAlignment="1">
      <alignment horizontal="left" vertical="center" wrapText="1"/>
    </xf>
    <xf numFmtId="0" fontId="0" fillId="0" borderId="0" xfId="0" applyAlignment="1">
      <alignment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3" fillId="0" borderId="4" xfId="0" applyFont="1" applyBorder="1" applyAlignment="1">
      <alignment vertical="center" wrapText="1"/>
    </xf>
    <xf numFmtId="0" fontId="13" fillId="0" borderId="7" xfId="0" applyFont="1" applyBorder="1" applyAlignment="1">
      <alignment horizontal="left" vertical="top" wrapText="1"/>
    </xf>
    <xf numFmtId="0" fontId="5" fillId="0" borderId="4" xfId="0" applyFont="1" applyBorder="1" applyAlignment="1">
      <alignment horizontal="left" vertical="center" wrapText="1"/>
    </xf>
    <xf numFmtId="0" fontId="14"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bgoosen_oldmutual_com/Documents/Desktop/Workstream_Owner_Roadmap_InputSheet2.xlsx" TargetMode="External"/><Relationship Id="rId1" Type="http://schemas.openxmlformats.org/officeDocument/2006/relationships/externalLinkPath" Target="/personal/bgoosen_oldmutual_com/Documents/Desktop/Workstream_Owner_Roadmap_InputSheet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ign Standards"/>
      <sheetName val="Design Delivery"/>
      <sheetName val="Content Readiness"/>
      <sheetName val="Feature Delivery"/>
      <sheetName val="Design Systems"/>
      <sheetName val="Migration"/>
      <sheetName val="Publishing"/>
      <sheetName val="Go-Live Readiness"/>
      <sheetName val="OMAR SEO Analytics"/>
    </sheetNames>
    <sheetDataSet>
      <sheetData sheetId="0">
        <row r="2">
          <cell r="B2"/>
        </row>
      </sheetData>
      <sheetData sheetId="1">
        <row r="2">
          <cell r="B2"/>
        </row>
      </sheetData>
      <sheetData sheetId="2">
        <row r="2">
          <cell r="B2"/>
        </row>
      </sheetData>
      <sheetData sheetId="3">
        <row r="2">
          <cell r="B2"/>
        </row>
      </sheetData>
      <sheetData sheetId="4">
        <row r="2">
          <cell r="B2"/>
        </row>
      </sheetData>
      <sheetData sheetId="5">
        <row r="2">
          <cell r="B2"/>
        </row>
      </sheetData>
      <sheetData sheetId="6">
        <row r="2">
          <cell r="B2"/>
        </row>
      </sheetData>
      <sheetData sheetId="7">
        <row r="1">
          <cell r="B1" t="str">
            <v>Go-Live Readiness</v>
          </cell>
        </row>
        <row r="2">
          <cell r="B2"/>
        </row>
      </sheetData>
      <sheetData sheetId="8">
        <row r="2">
          <cell r="B2"/>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bgoosen_oldmutual_com/Documents/Desktop/Workstream_Owner_Roadmap_InputSheet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rtus Goosen" refreshedDate="46177.583576851852" createdVersion="8" refreshedVersion="8" minRefreshableVersion="3" recordCount="196" xr:uid="{D58A89B7-5829-4066-842D-5AD6EEC5BB0B}">
  <cacheSource type="worksheet">
    <worksheetSource ref="A1:P1048576" sheet="Cons_List" r:id="rId2"/>
  </cacheSource>
  <cacheFields count="16">
    <cacheField name="Workstream" numFmtId="0">
      <sharedItems containsBlank="1" count="10">
        <s v="Design Standards"/>
        <m/>
        <s v="Design Delivery"/>
        <s v="Content Readiness"/>
        <s v="Feature Delivery"/>
        <s v="Design Systems"/>
        <s v="Migration"/>
        <s v="Publishing"/>
        <s v="Go-Live Readiness"/>
        <s v="OMAR / SEO / Analytics"/>
      </sharedItems>
    </cacheField>
    <cacheField name="Owner" numFmtId="0">
      <sharedItems containsString="0" containsBlank="1" containsNumber="1" containsInteger="1" minValue="0" maxValue="0"/>
    </cacheField>
    <cacheField name="Channel" numFmtId="0">
      <sharedItems containsString="0" containsBlank="1" containsNumber="1" containsInteger="1" minValue="0" maxValue="0"/>
    </cacheField>
    <cacheField name="Domain" numFmtId="0">
      <sharedItems containsString="0" containsBlank="1" containsNumber="1" containsInteger="1" minValue="0" maxValue="0"/>
    </cacheField>
    <cacheField name="Area/Journey" numFmtId="0">
      <sharedItems containsString="0" containsBlank="1" containsNumber="1" containsInteger="1" minValue="0" maxValue="0"/>
    </cacheField>
    <cacheField name="Cluster" numFmtId="0">
      <sharedItems containsString="0" containsBlank="1" containsNumber="1" containsInteger="1" minValue="0" maxValue="0"/>
    </cacheField>
    <cacheField name="Deliverable / Task / Milestone" numFmtId="0">
      <sharedItems containsBlank="1" containsMixedTypes="1" containsNumber="1" containsInteger="1" minValue="0" maxValue="0" count="4">
        <n v="0"/>
        <m/>
        <s v="AAA"/>
        <s v="BBB"/>
      </sharedItems>
    </cacheField>
    <cacheField name="Start Date" numFmtId="0">
      <sharedItems containsBlank="1" containsMixedTypes="1" containsNumber="1" containsInteger="1" minValue="0" maxValue="0" count="4">
        <n v="0"/>
        <m/>
        <s v="10/06/2026"/>
        <s v="15/06/2026"/>
      </sharedItems>
    </cacheField>
    <cacheField name="End Date" numFmtId="0">
      <sharedItems containsBlank="1" containsMixedTypes="1" containsNumber="1" containsInteger="1" minValue="0" maxValue="0"/>
    </cacheField>
    <cacheField name="Effort_x000a_(in days)" numFmtId="0">
      <sharedItems containsBlank="1" containsMixedTypes="1" containsNumber="1" containsInteger="1" minValue="0" maxValue="0" count="3">
        <n v="0"/>
        <m/>
        <e v="#VALUE!"/>
      </sharedItems>
    </cacheField>
    <cacheField name="Confidence level" numFmtId="0">
      <sharedItems containsString="0" containsBlank="1" containsNumber="1" containsInteger="1" minValue="0" maxValue="0"/>
    </cacheField>
    <cacheField name="Priority" numFmtId="0">
      <sharedItems containsString="0" containsBlank="1" containsNumber="1" containsInteger="1" minValue="0" maxValue="0"/>
    </cacheField>
    <cacheField name="Upstream dependency?" numFmtId="0">
      <sharedItems containsString="0" containsBlank="1" containsNumber="1" containsInteger="1" minValue="0" maxValue="0"/>
    </cacheField>
    <cacheField name="Upstream deliverable" numFmtId="0">
      <sharedItems containsString="0" containsBlank="1" containsNumber="1" containsInteger="1" minValue="0" maxValue="0"/>
    </cacheField>
    <cacheField name="Current deliverable / task Status " numFmtId="0">
      <sharedItems containsString="0" containsBlank="1" containsNumber="1" containsInteger="1" minValue="0" maxValue="0"/>
    </cacheField>
    <cacheField name="Comments"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0"/>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1"/>
    <m/>
    <m/>
    <m/>
    <m/>
    <m/>
    <x v="1"/>
    <x v="1"/>
    <m/>
    <x v="1"/>
    <m/>
    <m/>
    <m/>
    <m/>
    <m/>
    <m/>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2"/>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3"/>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1"/>
    <m/>
    <m/>
    <m/>
    <m/>
    <m/>
    <x v="1"/>
    <x v="1"/>
    <m/>
    <x v="1"/>
    <m/>
    <m/>
    <m/>
    <m/>
    <m/>
    <m/>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4"/>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5"/>
    <n v="0"/>
    <n v="0"/>
    <n v="0"/>
    <n v="0"/>
    <n v="0"/>
    <x v="0"/>
    <x v="0"/>
    <n v="0"/>
    <x v="0"/>
    <n v="0"/>
    <n v="0"/>
    <n v="0"/>
    <n v="0"/>
    <n v="0"/>
    <n v="0"/>
  </r>
  <r>
    <x v="1"/>
    <m/>
    <m/>
    <m/>
    <m/>
    <m/>
    <x v="1"/>
    <x v="1"/>
    <m/>
    <x v="1"/>
    <m/>
    <m/>
    <m/>
    <m/>
    <m/>
    <m/>
  </r>
  <r>
    <x v="1"/>
    <m/>
    <m/>
    <m/>
    <m/>
    <m/>
    <x v="1"/>
    <x v="1"/>
    <m/>
    <x v="1"/>
    <m/>
    <m/>
    <m/>
    <m/>
    <m/>
    <m/>
  </r>
  <r>
    <x v="1"/>
    <m/>
    <m/>
    <m/>
    <m/>
    <m/>
    <x v="1"/>
    <x v="1"/>
    <m/>
    <x v="1"/>
    <m/>
    <m/>
    <m/>
    <m/>
    <m/>
    <m/>
  </r>
  <r>
    <x v="1"/>
    <m/>
    <m/>
    <m/>
    <m/>
    <m/>
    <x v="1"/>
    <x v="1"/>
    <m/>
    <x v="1"/>
    <m/>
    <m/>
    <m/>
    <m/>
    <m/>
    <m/>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6"/>
    <n v="0"/>
    <n v="0"/>
    <n v="0"/>
    <n v="0"/>
    <n v="0"/>
    <x v="0"/>
    <x v="0"/>
    <n v="0"/>
    <x v="0"/>
    <n v="0"/>
    <n v="0"/>
    <n v="0"/>
    <n v="0"/>
    <n v="0"/>
    <n v="0"/>
  </r>
  <r>
    <x v="1"/>
    <m/>
    <m/>
    <m/>
    <m/>
    <m/>
    <x v="1"/>
    <x v="1"/>
    <m/>
    <x v="1"/>
    <m/>
    <m/>
    <m/>
    <m/>
    <m/>
    <m/>
  </r>
  <r>
    <x v="1"/>
    <m/>
    <m/>
    <m/>
    <m/>
    <m/>
    <x v="1"/>
    <x v="1"/>
    <m/>
    <x v="1"/>
    <m/>
    <m/>
    <m/>
    <m/>
    <m/>
    <m/>
  </r>
  <r>
    <x v="1"/>
    <m/>
    <m/>
    <m/>
    <m/>
    <m/>
    <x v="1"/>
    <x v="1"/>
    <m/>
    <x v="1"/>
    <m/>
    <m/>
    <m/>
    <m/>
    <m/>
    <m/>
  </r>
  <r>
    <x v="1"/>
    <m/>
    <m/>
    <m/>
    <m/>
    <m/>
    <x v="1"/>
    <x v="1"/>
    <m/>
    <x v="1"/>
    <m/>
    <m/>
    <m/>
    <m/>
    <m/>
    <m/>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7"/>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8"/>
    <n v="0"/>
    <n v="0"/>
    <n v="0"/>
    <n v="0"/>
    <n v="0"/>
    <x v="2"/>
    <x v="2"/>
    <s v="10/07/2026"/>
    <x v="2"/>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8"/>
    <n v="0"/>
    <n v="0"/>
    <n v="0"/>
    <n v="0"/>
    <n v="0"/>
    <x v="0"/>
    <x v="0"/>
    <n v="0"/>
    <x v="0"/>
    <n v="0"/>
    <n v="0"/>
    <n v="0"/>
    <n v="0"/>
    <n v="0"/>
    <n v="0"/>
  </r>
  <r>
    <x v="1"/>
    <m/>
    <m/>
    <m/>
    <m/>
    <m/>
    <x v="1"/>
    <x v="1"/>
    <m/>
    <x v="1"/>
    <m/>
    <m/>
    <m/>
    <m/>
    <m/>
    <m/>
  </r>
  <r>
    <x v="1"/>
    <m/>
    <m/>
    <m/>
    <m/>
    <m/>
    <x v="1"/>
    <x v="1"/>
    <m/>
    <x v="1"/>
    <m/>
    <m/>
    <m/>
    <m/>
    <m/>
    <m/>
  </r>
  <r>
    <x v="1"/>
    <m/>
    <m/>
    <m/>
    <m/>
    <m/>
    <x v="1"/>
    <x v="1"/>
    <m/>
    <x v="1"/>
    <m/>
    <m/>
    <m/>
    <m/>
    <m/>
    <m/>
  </r>
  <r>
    <x v="1"/>
    <m/>
    <m/>
    <m/>
    <m/>
    <m/>
    <x v="1"/>
    <x v="1"/>
    <m/>
    <x v="1"/>
    <m/>
    <m/>
    <m/>
    <m/>
    <m/>
    <m/>
  </r>
  <r>
    <x v="1"/>
    <m/>
    <m/>
    <m/>
    <m/>
    <m/>
    <x v="1"/>
    <x v="1"/>
    <m/>
    <x v="1"/>
    <m/>
    <m/>
    <m/>
    <m/>
    <m/>
    <m/>
  </r>
  <r>
    <x v="1"/>
    <m/>
    <m/>
    <m/>
    <m/>
    <m/>
    <x v="1"/>
    <x v="1"/>
    <m/>
    <x v="1"/>
    <m/>
    <m/>
    <m/>
    <m/>
    <m/>
    <m/>
  </r>
  <r>
    <x v="1"/>
    <m/>
    <m/>
    <m/>
    <m/>
    <m/>
    <x v="1"/>
    <x v="1"/>
    <m/>
    <x v="1"/>
    <m/>
    <m/>
    <m/>
    <m/>
    <m/>
    <m/>
  </r>
  <r>
    <x v="1"/>
    <m/>
    <m/>
    <m/>
    <m/>
    <m/>
    <x v="1"/>
    <x v="1"/>
    <m/>
    <x v="1"/>
    <m/>
    <m/>
    <m/>
    <m/>
    <m/>
    <m/>
  </r>
  <r>
    <x v="9"/>
    <n v="0"/>
    <n v="0"/>
    <n v="0"/>
    <n v="0"/>
    <n v="0"/>
    <x v="3"/>
    <x v="3"/>
    <s v="30/06/2026"/>
    <x v="2"/>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9"/>
    <n v="0"/>
    <n v="0"/>
    <n v="0"/>
    <n v="0"/>
    <n v="0"/>
    <x v="0"/>
    <x v="0"/>
    <n v="0"/>
    <x v="0"/>
    <n v="0"/>
    <n v="0"/>
    <n v="0"/>
    <n v="0"/>
    <n v="0"/>
    <n v="0"/>
  </r>
  <r>
    <x v="1"/>
    <m/>
    <m/>
    <m/>
    <m/>
    <m/>
    <x v="1"/>
    <x v="1"/>
    <m/>
    <x v="1"/>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64F2BD-04BB-41E7-883A-4BE98AEB47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16">
    <pivotField axis="axisRow" showAll="0">
      <items count="11">
        <item x="3"/>
        <item x="2"/>
        <item x="0"/>
        <item x="5"/>
        <item x="4"/>
        <item x="8"/>
        <item x="6"/>
        <item x="9"/>
        <item x="7"/>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BD56-75E4-4A13-B639-FC1F0E2F0768}">
  <dimension ref="A1:N143"/>
  <sheetViews>
    <sheetView tabSelected="1" topLeftCell="D1" zoomScale="85" zoomScaleNormal="85" workbookViewId="0">
      <selection activeCell="I23" sqref="I23"/>
    </sheetView>
  </sheetViews>
  <sheetFormatPr defaultColWidth="38.7109375" defaultRowHeight="15" x14ac:dyDescent="0.25"/>
  <cols>
    <col min="1" max="1" width="20.42578125" customWidth="1"/>
    <col min="2" max="2" width="28.140625" customWidth="1"/>
    <col min="3" max="3" width="26.7109375" customWidth="1"/>
    <col min="4" max="4" width="25.7109375" customWidth="1"/>
    <col min="6" max="7" width="21.2851562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1"/>
      <c r="B1" s="1" t="s">
        <v>0</v>
      </c>
    </row>
    <row r="2" spans="1:14" ht="21.75" x14ac:dyDescent="0.25">
      <c r="A2" s="1" t="s">
        <v>1</v>
      </c>
      <c r="B2" s="1" t="s">
        <v>216</v>
      </c>
    </row>
    <row r="3" spans="1:14" ht="60" x14ac:dyDescent="0.25">
      <c r="A3" s="5" t="s">
        <v>2</v>
      </c>
      <c r="B3" s="5" t="s">
        <v>3</v>
      </c>
      <c r="C3" s="6" t="s">
        <v>4</v>
      </c>
      <c r="D3" s="4" t="s">
        <v>5</v>
      </c>
      <c r="E3" s="5" t="s">
        <v>6</v>
      </c>
      <c r="F3" s="5" t="s">
        <v>7</v>
      </c>
      <c r="G3" s="5" t="s">
        <v>8</v>
      </c>
      <c r="H3" s="5" t="s">
        <v>9</v>
      </c>
      <c r="I3" s="5" t="s">
        <v>10</v>
      </c>
      <c r="J3" s="5" t="s">
        <v>11</v>
      </c>
      <c r="K3" s="3" t="s">
        <v>12</v>
      </c>
      <c r="L3" s="3" t="s">
        <v>13</v>
      </c>
      <c r="M3" s="4" t="s">
        <v>14</v>
      </c>
      <c r="N3" s="44" t="s">
        <v>15</v>
      </c>
    </row>
    <row r="4" spans="1:14" ht="105" customHeight="1" x14ac:dyDescent="0.25">
      <c r="A4" s="2" t="s">
        <v>35</v>
      </c>
      <c r="B4" s="2" t="s">
        <v>86</v>
      </c>
      <c r="C4" s="2" t="s">
        <v>102</v>
      </c>
      <c r="D4" s="56" t="s">
        <v>181</v>
      </c>
      <c r="E4" s="2" t="s">
        <v>184</v>
      </c>
      <c r="F4" s="37">
        <v>46177</v>
      </c>
      <c r="G4" s="37">
        <v>46190</v>
      </c>
      <c r="H4" s="43">
        <f>NETWORKDAYS(F4,G4)</f>
        <v>10</v>
      </c>
      <c r="I4" s="39">
        <v>1</v>
      </c>
      <c r="J4" s="2" t="s">
        <v>31</v>
      </c>
      <c r="K4" s="2" t="s">
        <v>32</v>
      </c>
      <c r="L4" s="2" t="s">
        <v>214</v>
      </c>
      <c r="M4" s="2" t="s">
        <v>36</v>
      </c>
      <c r="N4" s="2" t="s">
        <v>243</v>
      </c>
    </row>
    <row r="5" spans="1:14" ht="102" customHeight="1" x14ac:dyDescent="0.25">
      <c r="A5" s="2" t="s">
        <v>35</v>
      </c>
      <c r="B5" s="2" t="s">
        <v>86</v>
      </c>
      <c r="C5" s="2" t="s">
        <v>102</v>
      </c>
      <c r="D5" s="56" t="s">
        <v>181</v>
      </c>
      <c r="E5" s="2" t="s">
        <v>185</v>
      </c>
      <c r="F5" s="37">
        <v>46177</v>
      </c>
      <c r="G5" s="37">
        <v>46190</v>
      </c>
      <c r="H5" s="43">
        <f>NETWORKDAYS(F5,G5)</f>
        <v>10</v>
      </c>
      <c r="I5" s="39">
        <v>1</v>
      </c>
      <c r="J5" s="2" t="s">
        <v>31</v>
      </c>
      <c r="K5" s="2" t="s">
        <v>32</v>
      </c>
      <c r="L5" s="2" t="s">
        <v>233</v>
      </c>
      <c r="M5" s="2" t="s">
        <v>36</v>
      </c>
      <c r="N5" s="2" t="s">
        <v>238</v>
      </c>
    </row>
    <row r="6" spans="1:14" ht="75" x14ac:dyDescent="0.25">
      <c r="A6" s="2" t="s">
        <v>35</v>
      </c>
      <c r="B6" s="2" t="s">
        <v>86</v>
      </c>
      <c r="C6" s="2" t="s">
        <v>102</v>
      </c>
      <c r="D6" s="57" t="s">
        <v>182</v>
      </c>
      <c r="E6" s="2" t="s">
        <v>183</v>
      </c>
      <c r="F6" s="37">
        <v>46191</v>
      </c>
      <c r="G6" s="37">
        <v>46204</v>
      </c>
      <c r="H6" s="43">
        <f t="shared" ref="H6:H71" si="0">NETWORKDAYS(F6,G6)</f>
        <v>10</v>
      </c>
      <c r="I6" s="39">
        <v>0.6</v>
      </c>
      <c r="J6" s="2" t="s">
        <v>31</v>
      </c>
      <c r="K6" s="2" t="s">
        <v>32</v>
      </c>
      <c r="L6" s="2" t="s">
        <v>239</v>
      </c>
      <c r="M6" s="2" t="s">
        <v>36</v>
      </c>
      <c r="N6" s="2" t="s">
        <v>240</v>
      </c>
    </row>
    <row r="7" spans="1:14" ht="75" x14ac:dyDescent="0.25">
      <c r="A7" s="2" t="s">
        <v>35</v>
      </c>
      <c r="B7" s="2" t="s">
        <v>86</v>
      </c>
      <c r="C7" s="2" t="s">
        <v>102</v>
      </c>
      <c r="D7" s="57" t="s">
        <v>182</v>
      </c>
      <c r="E7" s="2" t="s">
        <v>188</v>
      </c>
      <c r="F7" s="37">
        <v>46191</v>
      </c>
      <c r="G7" s="37">
        <v>46204</v>
      </c>
      <c r="H7" s="43">
        <f t="shared" si="0"/>
        <v>10</v>
      </c>
      <c r="I7" s="39">
        <v>0.6</v>
      </c>
      <c r="J7" s="2" t="s">
        <v>26</v>
      </c>
      <c r="K7" s="2" t="s">
        <v>32</v>
      </c>
      <c r="L7" s="2" t="s">
        <v>239</v>
      </c>
      <c r="M7" s="2" t="s">
        <v>36</v>
      </c>
      <c r="N7" s="2" t="s">
        <v>240</v>
      </c>
    </row>
    <row r="8" spans="1:14" ht="75" customHeight="1" x14ac:dyDescent="0.25">
      <c r="A8" s="2" t="s">
        <v>35</v>
      </c>
      <c r="B8" s="2" t="s">
        <v>86</v>
      </c>
      <c r="C8" s="2" t="s">
        <v>102</v>
      </c>
      <c r="D8" s="57" t="s">
        <v>182</v>
      </c>
      <c r="E8" s="2" t="s">
        <v>189</v>
      </c>
      <c r="F8" s="37">
        <v>46177</v>
      </c>
      <c r="G8" s="37">
        <v>46190</v>
      </c>
      <c r="H8" s="43">
        <f t="shared" si="0"/>
        <v>10</v>
      </c>
      <c r="I8" s="39">
        <v>0.8</v>
      </c>
      <c r="J8" s="2" t="s">
        <v>26</v>
      </c>
      <c r="K8" s="2" t="s">
        <v>32</v>
      </c>
      <c r="L8" s="2" t="s">
        <v>242</v>
      </c>
      <c r="M8" s="2" t="s">
        <v>36</v>
      </c>
      <c r="N8" s="2" t="s">
        <v>244</v>
      </c>
    </row>
    <row r="9" spans="1:14" ht="90" customHeight="1" x14ac:dyDescent="0.25">
      <c r="A9" s="2" t="s">
        <v>35</v>
      </c>
      <c r="B9" s="2" t="s">
        <v>86</v>
      </c>
      <c r="C9" s="2" t="s">
        <v>102</v>
      </c>
      <c r="D9" s="57" t="s">
        <v>182</v>
      </c>
      <c r="E9" s="2" t="s">
        <v>211</v>
      </c>
      <c r="F9" s="37">
        <v>46177</v>
      </c>
      <c r="G9" s="37">
        <v>46190</v>
      </c>
      <c r="H9" s="43">
        <f>NETWORKDAYS(F9,G9)</f>
        <v>10</v>
      </c>
      <c r="I9" s="39">
        <v>0.8</v>
      </c>
      <c r="J9" s="2" t="s">
        <v>26</v>
      </c>
      <c r="K9" s="2" t="s">
        <v>32</v>
      </c>
      <c r="L9" s="2" t="s">
        <v>245</v>
      </c>
      <c r="M9" s="2" t="s">
        <v>36</v>
      </c>
      <c r="N9" s="2" t="s">
        <v>249</v>
      </c>
    </row>
    <row r="10" spans="1:14" ht="48" customHeight="1" x14ac:dyDescent="0.25">
      <c r="A10" s="2" t="s">
        <v>35</v>
      </c>
      <c r="B10" s="2" t="s">
        <v>86</v>
      </c>
      <c r="C10" s="2" t="s">
        <v>102</v>
      </c>
      <c r="D10" s="57" t="s">
        <v>182</v>
      </c>
      <c r="E10" s="2" t="s">
        <v>193</v>
      </c>
      <c r="F10" s="37">
        <v>46177</v>
      </c>
      <c r="G10" s="37">
        <v>46190</v>
      </c>
      <c r="H10" s="43">
        <f t="shared" si="0"/>
        <v>10</v>
      </c>
      <c r="I10" s="39">
        <v>0.8</v>
      </c>
      <c r="J10" s="2" t="s">
        <v>26</v>
      </c>
      <c r="K10" s="2" t="s">
        <v>27</v>
      </c>
      <c r="L10" s="2" t="s">
        <v>248</v>
      </c>
      <c r="M10" s="2" t="s">
        <v>36</v>
      </c>
      <c r="N10" s="2" t="s">
        <v>250</v>
      </c>
    </row>
    <row r="11" spans="1:14" ht="63" customHeight="1" x14ac:dyDescent="0.25">
      <c r="A11" s="2" t="s">
        <v>35</v>
      </c>
      <c r="B11" s="2" t="s">
        <v>86</v>
      </c>
      <c r="C11" s="2" t="s">
        <v>109</v>
      </c>
      <c r="D11" s="57" t="s">
        <v>182</v>
      </c>
      <c r="E11" s="2" t="s">
        <v>212</v>
      </c>
      <c r="F11" s="37">
        <v>46177</v>
      </c>
      <c r="G11" s="37">
        <v>46190</v>
      </c>
      <c r="H11" s="43">
        <f t="shared" si="0"/>
        <v>10</v>
      </c>
      <c r="I11" s="39">
        <v>0.4</v>
      </c>
      <c r="J11" s="2" t="s">
        <v>26</v>
      </c>
      <c r="K11" s="2" t="s">
        <v>32</v>
      </c>
      <c r="L11" s="2" t="s">
        <v>251</v>
      </c>
      <c r="M11" s="2" t="s">
        <v>36</v>
      </c>
      <c r="N11" s="2" t="s">
        <v>250</v>
      </c>
    </row>
    <row r="12" spans="1:14" ht="78" customHeight="1" x14ac:dyDescent="0.25">
      <c r="A12" s="2" t="s">
        <v>35</v>
      </c>
      <c r="B12" s="2" t="s">
        <v>86</v>
      </c>
      <c r="C12" s="2" t="s">
        <v>109</v>
      </c>
      <c r="D12" s="57" t="s">
        <v>182</v>
      </c>
      <c r="E12" s="2" t="s">
        <v>213</v>
      </c>
      <c r="F12" s="37">
        <v>46177</v>
      </c>
      <c r="G12" s="37">
        <v>46190</v>
      </c>
      <c r="H12" s="43">
        <v>10</v>
      </c>
      <c r="I12" s="39">
        <v>0.4</v>
      </c>
      <c r="J12" s="2" t="s">
        <v>26</v>
      </c>
      <c r="K12" s="2" t="s">
        <v>32</v>
      </c>
      <c r="L12" s="2" t="s">
        <v>252</v>
      </c>
      <c r="M12" s="2" t="s">
        <v>36</v>
      </c>
      <c r="N12" s="2" t="s">
        <v>253</v>
      </c>
    </row>
    <row r="13" spans="1:14" ht="90" customHeight="1" x14ac:dyDescent="0.25">
      <c r="A13" s="2" t="s">
        <v>35</v>
      </c>
      <c r="B13" s="2" t="s">
        <v>86</v>
      </c>
      <c r="C13" s="2" t="s">
        <v>102</v>
      </c>
      <c r="D13" s="58" t="s">
        <v>187</v>
      </c>
      <c r="E13" s="2" t="s">
        <v>186</v>
      </c>
      <c r="F13" s="37">
        <v>46177</v>
      </c>
      <c r="G13" s="37">
        <v>46190</v>
      </c>
      <c r="H13" s="43">
        <f t="shared" si="0"/>
        <v>10</v>
      </c>
      <c r="I13" s="39">
        <v>0.7</v>
      </c>
      <c r="J13" s="2" t="s">
        <v>26</v>
      </c>
      <c r="K13" s="2" t="s">
        <v>32</v>
      </c>
      <c r="L13" s="2" t="s">
        <v>255</v>
      </c>
      <c r="M13" s="2" t="s">
        <v>36</v>
      </c>
      <c r="N13" s="2"/>
    </row>
    <row r="14" spans="1:14" ht="65.25" customHeight="1" x14ac:dyDescent="0.25">
      <c r="A14" s="2" t="s">
        <v>35</v>
      </c>
      <c r="B14" s="2" t="s">
        <v>86</v>
      </c>
      <c r="C14" s="2" t="s">
        <v>102</v>
      </c>
      <c r="D14" s="57" t="s">
        <v>182</v>
      </c>
      <c r="E14" s="2" t="s">
        <v>194</v>
      </c>
      <c r="F14" s="37">
        <v>46191</v>
      </c>
      <c r="G14" s="37">
        <v>46204</v>
      </c>
      <c r="H14" s="43">
        <f>NETWORKDAYS(F14,G14)</f>
        <v>10</v>
      </c>
      <c r="I14" s="39">
        <v>0.6</v>
      </c>
      <c r="J14" s="2" t="s">
        <v>40</v>
      </c>
      <c r="K14" s="2" t="s">
        <v>27</v>
      </c>
      <c r="L14" s="2" t="s">
        <v>254</v>
      </c>
      <c r="M14" s="2" t="s">
        <v>29</v>
      </c>
      <c r="N14" s="2"/>
    </row>
    <row r="15" spans="1:14" ht="68.25" customHeight="1" x14ac:dyDescent="0.25">
      <c r="A15" s="2" t="s">
        <v>35</v>
      </c>
      <c r="B15" s="2" t="s">
        <v>86</v>
      </c>
      <c r="C15" s="2" t="s">
        <v>102</v>
      </c>
      <c r="D15" s="57" t="s">
        <v>182</v>
      </c>
      <c r="E15" s="2" t="s">
        <v>195</v>
      </c>
      <c r="F15" s="37">
        <v>46191</v>
      </c>
      <c r="G15" s="37">
        <v>46204</v>
      </c>
      <c r="H15" s="43">
        <f>NETWORKDAYS(F15,G15)</f>
        <v>10</v>
      </c>
      <c r="I15" s="39">
        <v>0.4</v>
      </c>
      <c r="J15" s="2" t="s">
        <v>40</v>
      </c>
      <c r="K15" s="2" t="s">
        <v>32</v>
      </c>
      <c r="L15" s="2" t="s">
        <v>271</v>
      </c>
      <c r="M15" s="2" t="s">
        <v>29</v>
      </c>
      <c r="N15" s="2"/>
    </row>
    <row r="16" spans="1:14" ht="69" customHeight="1" x14ac:dyDescent="0.25">
      <c r="A16" s="2" t="s">
        <v>38</v>
      </c>
      <c r="B16" s="2" t="s">
        <v>192</v>
      </c>
      <c r="C16" s="2" t="s">
        <v>102</v>
      </c>
      <c r="D16" s="56" t="s">
        <v>181</v>
      </c>
      <c r="E16" s="2" t="s">
        <v>184</v>
      </c>
      <c r="F16" s="37">
        <v>46205</v>
      </c>
      <c r="G16" s="37">
        <v>46218</v>
      </c>
      <c r="H16" s="43">
        <f t="shared" si="0"/>
        <v>10</v>
      </c>
      <c r="I16" s="39">
        <v>0.4</v>
      </c>
      <c r="J16" s="2" t="s">
        <v>26</v>
      </c>
      <c r="K16" s="2" t="s">
        <v>32</v>
      </c>
      <c r="L16" s="2" t="s">
        <v>272</v>
      </c>
      <c r="M16" s="2" t="s">
        <v>36</v>
      </c>
      <c r="N16" s="2" t="s">
        <v>273</v>
      </c>
    </row>
    <row r="17" spans="1:14" ht="30" x14ac:dyDescent="0.25">
      <c r="A17" s="2" t="s">
        <v>38</v>
      </c>
      <c r="B17" s="2" t="s">
        <v>192</v>
      </c>
      <c r="C17" s="2" t="s">
        <v>102</v>
      </c>
      <c r="D17" s="56" t="s">
        <v>181</v>
      </c>
      <c r="E17" s="2" t="s">
        <v>191</v>
      </c>
      <c r="F17" s="37">
        <v>46205</v>
      </c>
      <c r="G17" s="37">
        <v>46218</v>
      </c>
      <c r="H17" s="43">
        <f t="shared" si="0"/>
        <v>10</v>
      </c>
      <c r="I17" s="39">
        <v>0.7</v>
      </c>
      <c r="J17" s="2" t="s">
        <v>26</v>
      </c>
      <c r="K17" s="2" t="s">
        <v>32</v>
      </c>
      <c r="L17" s="2"/>
      <c r="M17" s="2" t="s">
        <v>36</v>
      </c>
      <c r="N17" s="2"/>
    </row>
    <row r="18" spans="1:14" ht="30.75" customHeight="1" x14ac:dyDescent="0.25">
      <c r="A18" s="2"/>
      <c r="B18" s="2" t="s">
        <v>234</v>
      </c>
      <c r="C18" s="2" t="s">
        <v>229</v>
      </c>
      <c r="D18" s="2" t="s">
        <v>230</v>
      </c>
      <c r="E18" s="2" t="s">
        <v>231</v>
      </c>
      <c r="F18" s="37">
        <v>46177</v>
      </c>
      <c r="G18" s="37">
        <v>46190</v>
      </c>
      <c r="H18" s="43">
        <f t="shared" si="0"/>
        <v>10</v>
      </c>
      <c r="I18" s="39">
        <v>0.8</v>
      </c>
      <c r="J18" s="2" t="s">
        <v>31</v>
      </c>
      <c r="K18" s="2" t="s">
        <v>32</v>
      </c>
      <c r="L18" s="2" t="s">
        <v>279</v>
      </c>
      <c r="M18" s="2" t="s">
        <v>274</v>
      </c>
      <c r="N18" s="2" t="s">
        <v>280</v>
      </c>
    </row>
    <row r="19" spans="1:14" ht="30" customHeight="1" x14ac:dyDescent="0.25">
      <c r="A19" s="2"/>
      <c r="B19" s="2" t="s">
        <v>234</v>
      </c>
      <c r="C19" s="2" t="s">
        <v>229</v>
      </c>
      <c r="D19" s="2" t="s">
        <v>230</v>
      </c>
      <c r="E19" s="2" t="s">
        <v>232</v>
      </c>
      <c r="F19" s="37">
        <v>46177</v>
      </c>
      <c r="G19" s="37">
        <v>46190</v>
      </c>
      <c r="H19" s="43">
        <f t="shared" si="0"/>
        <v>10</v>
      </c>
      <c r="I19" s="39">
        <v>0.8</v>
      </c>
      <c r="J19" s="2" t="s">
        <v>31</v>
      </c>
      <c r="K19" s="2" t="s">
        <v>32</v>
      </c>
      <c r="L19" s="2" t="s">
        <v>279</v>
      </c>
      <c r="M19" s="2" t="s">
        <v>274</v>
      </c>
      <c r="N19" s="2" t="s">
        <v>281</v>
      </c>
    </row>
    <row r="20" spans="1:14" ht="30" x14ac:dyDescent="0.25">
      <c r="A20" s="2"/>
      <c r="B20" s="2" t="s">
        <v>234</v>
      </c>
      <c r="C20" s="2" t="s">
        <v>229</v>
      </c>
      <c r="D20" s="2" t="s">
        <v>235</v>
      </c>
      <c r="E20" s="2" t="s">
        <v>236</v>
      </c>
      <c r="F20" s="37">
        <v>46177</v>
      </c>
      <c r="G20" s="37">
        <v>46204</v>
      </c>
      <c r="H20" s="43">
        <f t="shared" si="0"/>
        <v>20</v>
      </c>
      <c r="I20" s="39">
        <v>0.7</v>
      </c>
      <c r="J20" s="2" t="s">
        <v>26</v>
      </c>
      <c r="K20" s="2" t="s">
        <v>32</v>
      </c>
      <c r="L20" s="2" t="s">
        <v>279</v>
      </c>
      <c r="M20" s="2" t="s">
        <v>36</v>
      </c>
      <c r="N20" s="2" t="s">
        <v>282</v>
      </c>
    </row>
    <row r="21" spans="1:14" ht="55.5" customHeight="1" x14ac:dyDescent="0.25">
      <c r="A21" s="2" t="s">
        <v>35</v>
      </c>
      <c r="B21" s="2" t="s">
        <v>86</v>
      </c>
      <c r="C21" s="2" t="s">
        <v>210</v>
      </c>
      <c r="D21" s="58" t="s">
        <v>187</v>
      </c>
      <c r="E21" s="2" t="s">
        <v>256</v>
      </c>
      <c r="F21" s="37">
        <v>46190</v>
      </c>
      <c r="G21" s="37">
        <v>46205</v>
      </c>
      <c r="H21" s="43">
        <v>10</v>
      </c>
      <c r="I21" s="39">
        <v>0.2</v>
      </c>
      <c r="J21" s="2" t="s">
        <v>43</v>
      </c>
      <c r="K21" s="2" t="s">
        <v>32</v>
      </c>
      <c r="L21" s="2" t="s">
        <v>283</v>
      </c>
      <c r="M21" s="2" t="s">
        <v>29</v>
      </c>
      <c r="N21" s="2" t="s">
        <v>285</v>
      </c>
    </row>
    <row r="22" spans="1:14" ht="72.75" customHeight="1" x14ac:dyDescent="0.25">
      <c r="A22" s="2" t="s">
        <v>35</v>
      </c>
      <c r="B22" s="2" t="s">
        <v>86</v>
      </c>
      <c r="C22" s="2" t="s">
        <v>259</v>
      </c>
      <c r="D22" s="58" t="s">
        <v>187</v>
      </c>
      <c r="E22" s="2" t="s">
        <v>257</v>
      </c>
      <c r="F22" s="37">
        <v>46191</v>
      </c>
      <c r="G22" s="37">
        <v>46205</v>
      </c>
      <c r="H22" s="43">
        <v>10</v>
      </c>
      <c r="I22" s="39">
        <v>0.8</v>
      </c>
      <c r="J22" s="2" t="s">
        <v>43</v>
      </c>
      <c r="K22" s="2" t="s">
        <v>32</v>
      </c>
      <c r="L22" s="2" t="s">
        <v>288</v>
      </c>
      <c r="M22" s="2" t="s">
        <v>36</v>
      </c>
      <c r="N22" s="2" t="s">
        <v>289</v>
      </c>
    </row>
    <row r="23" spans="1:14" ht="36" customHeight="1" x14ac:dyDescent="0.25">
      <c r="A23" s="2" t="s">
        <v>35</v>
      </c>
      <c r="B23" s="2" t="s">
        <v>86</v>
      </c>
      <c r="C23" s="2" t="s">
        <v>260</v>
      </c>
      <c r="D23" s="58" t="s">
        <v>187</v>
      </c>
      <c r="E23" s="2" t="s">
        <v>258</v>
      </c>
      <c r="F23" s="37">
        <v>46177</v>
      </c>
      <c r="G23" s="37">
        <v>46190</v>
      </c>
      <c r="H23" s="43">
        <f t="shared" si="0"/>
        <v>10</v>
      </c>
      <c r="I23" s="39">
        <v>0.3</v>
      </c>
      <c r="J23" s="2" t="s">
        <v>26</v>
      </c>
      <c r="K23" s="2" t="s">
        <v>32</v>
      </c>
      <c r="L23" s="2" t="s">
        <v>294</v>
      </c>
      <c r="M23" s="2" t="s">
        <v>29</v>
      </c>
      <c r="N23" s="2"/>
    </row>
    <row r="24" spans="1:14" x14ac:dyDescent="0.25">
      <c r="A24" s="2"/>
      <c r="B24" s="2"/>
      <c r="C24" s="2"/>
      <c r="D24" s="2"/>
      <c r="E24" s="2"/>
      <c r="F24" s="37"/>
      <c r="G24" s="37"/>
      <c r="H24" s="43">
        <f t="shared" si="0"/>
        <v>0</v>
      </c>
      <c r="I24" s="2"/>
      <c r="J24" s="2"/>
      <c r="K24" s="2"/>
      <c r="L24" s="2"/>
      <c r="M24" s="2"/>
      <c r="N24" s="2"/>
    </row>
    <row r="25" spans="1:14" x14ac:dyDescent="0.25">
      <c r="A25" s="2"/>
      <c r="B25" s="2"/>
      <c r="C25" s="2"/>
      <c r="D25" s="2"/>
      <c r="E25" s="2"/>
      <c r="F25" s="37"/>
      <c r="G25" s="37"/>
      <c r="H25" s="43">
        <f t="shared" si="0"/>
        <v>0</v>
      </c>
      <c r="I25" s="2"/>
      <c r="J25" s="2"/>
      <c r="K25" s="2"/>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si="0"/>
        <v>0</v>
      </c>
      <c r="I69" s="2"/>
      <c r="J69" s="2"/>
      <c r="K69" s="2"/>
      <c r="L69" s="2"/>
      <c r="M69" s="2"/>
      <c r="N69" s="2"/>
    </row>
    <row r="70" spans="1:14" x14ac:dyDescent="0.25">
      <c r="A70" s="2"/>
      <c r="B70" s="2"/>
      <c r="C70" s="2"/>
      <c r="D70" s="2"/>
      <c r="E70" s="2"/>
      <c r="F70" s="37"/>
      <c r="G70" s="37"/>
      <c r="H70" s="43">
        <f t="shared" si="0"/>
        <v>0</v>
      </c>
      <c r="I70" s="2"/>
      <c r="J70" s="2"/>
      <c r="K70" s="2"/>
      <c r="L70" s="2"/>
      <c r="M70" s="2"/>
      <c r="N70" s="2"/>
    </row>
    <row r="71" spans="1:14" x14ac:dyDescent="0.25">
      <c r="A71" s="2"/>
      <c r="B71" s="2"/>
      <c r="C71" s="2"/>
      <c r="D71" s="2"/>
      <c r="E71" s="2"/>
      <c r="F71" s="37"/>
      <c r="G71" s="37"/>
      <c r="H71" s="43">
        <f t="shared" si="0"/>
        <v>0</v>
      </c>
      <c r="I71" s="2"/>
      <c r="J71" s="2"/>
      <c r="K71" s="2"/>
      <c r="L71" s="2"/>
      <c r="M71" s="2"/>
      <c r="N71" s="2"/>
    </row>
    <row r="72" spans="1:14" x14ac:dyDescent="0.25">
      <c r="A72" s="2"/>
      <c r="B72" s="2"/>
      <c r="C72" s="2"/>
      <c r="D72" s="2"/>
      <c r="E72" s="2"/>
      <c r="F72" s="37"/>
      <c r="G72" s="37"/>
      <c r="H72" s="43">
        <f t="shared" ref="H72:H135" si="1">NETWORKDAYS(F72,G72)</f>
        <v>0</v>
      </c>
      <c r="I72" s="2"/>
      <c r="J72" s="2"/>
      <c r="K72" s="2"/>
      <c r="L72" s="2"/>
      <c r="M72" s="2"/>
      <c r="N72" s="2"/>
    </row>
    <row r="73" spans="1:14" x14ac:dyDescent="0.25">
      <c r="A73" s="2"/>
      <c r="B73" s="2"/>
      <c r="C73" s="2"/>
      <c r="D73" s="2"/>
      <c r="E73" s="2"/>
      <c r="F73" s="37"/>
      <c r="G73" s="37"/>
      <c r="H73" s="43">
        <f t="shared" si="1"/>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si="1"/>
        <v>0</v>
      </c>
      <c r="I133" s="2"/>
      <c r="J133" s="2"/>
      <c r="K133" s="2"/>
      <c r="L133" s="2"/>
      <c r="M133" s="2"/>
      <c r="N133" s="2"/>
    </row>
    <row r="134" spans="1:14" x14ac:dyDescent="0.25">
      <c r="A134" s="2"/>
      <c r="B134" s="2"/>
      <c r="C134" s="2"/>
      <c r="D134" s="2"/>
      <c r="E134" s="2"/>
      <c r="F134" s="37"/>
      <c r="G134" s="37"/>
      <c r="H134" s="43">
        <f t="shared" si="1"/>
        <v>0</v>
      </c>
      <c r="I134" s="2"/>
      <c r="J134" s="2"/>
      <c r="K134" s="2"/>
      <c r="L134" s="2"/>
      <c r="M134" s="2"/>
      <c r="N134" s="2"/>
    </row>
    <row r="135" spans="1:14" x14ac:dyDescent="0.25">
      <c r="A135" s="2"/>
      <c r="B135" s="2"/>
      <c r="C135" s="2"/>
      <c r="D135" s="2"/>
      <c r="E135" s="2"/>
      <c r="F135" s="37"/>
      <c r="G135" s="37"/>
      <c r="H135" s="43">
        <f t="shared" si="1"/>
        <v>0</v>
      </c>
      <c r="I135" s="2"/>
      <c r="J135" s="2"/>
      <c r="K135" s="2"/>
      <c r="L135" s="2"/>
      <c r="M135" s="2"/>
      <c r="N135" s="2"/>
    </row>
    <row r="136" spans="1:14" x14ac:dyDescent="0.25">
      <c r="A136" s="2"/>
      <c r="B136" s="2"/>
      <c r="C136" s="2"/>
      <c r="D136" s="2"/>
      <c r="E136" s="2"/>
      <c r="F136" s="37"/>
      <c r="G136" s="37"/>
      <c r="H136" s="43">
        <f t="shared" ref="H136:H143" si="2">NETWORKDAYS(F136,G136)</f>
        <v>0</v>
      </c>
      <c r="I136" s="2"/>
      <c r="J136" s="2"/>
      <c r="K136" s="2"/>
      <c r="L136" s="2"/>
      <c r="M136" s="2"/>
      <c r="N136" s="2"/>
    </row>
    <row r="137" spans="1:14" x14ac:dyDescent="0.25">
      <c r="A137" s="2"/>
      <c r="B137" s="2"/>
      <c r="C137" s="2"/>
      <c r="D137" s="2"/>
      <c r="E137" s="2"/>
      <c r="F137" s="37"/>
      <c r="G137" s="37"/>
      <c r="H137" s="43">
        <f t="shared" si="2"/>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row r="139" spans="1:14" x14ac:dyDescent="0.25">
      <c r="A139" s="2"/>
      <c r="B139" s="2"/>
      <c r="C139" s="2"/>
      <c r="D139" s="2"/>
      <c r="E139" s="2"/>
      <c r="F139" s="37"/>
      <c r="G139" s="37"/>
      <c r="H139" s="43">
        <f t="shared" si="2"/>
        <v>0</v>
      </c>
      <c r="I139" s="2"/>
      <c r="J139" s="2"/>
      <c r="K139" s="2"/>
      <c r="L139" s="2"/>
      <c r="M139" s="2"/>
      <c r="N139" s="2"/>
    </row>
    <row r="140" spans="1:14" x14ac:dyDescent="0.25">
      <c r="A140" s="2"/>
      <c r="B140" s="2"/>
      <c r="C140" s="2"/>
      <c r="D140" s="2"/>
      <c r="E140" s="2"/>
      <c r="F140" s="37"/>
      <c r="G140" s="37"/>
      <c r="H140" s="43">
        <f t="shared" si="2"/>
        <v>0</v>
      </c>
      <c r="I140" s="2"/>
      <c r="J140" s="2"/>
      <c r="K140" s="2"/>
      <c r="L140" s="2"/>
      <c r="M140" s="2"/>
      <c r="N140" s="2"/>
    </row>
    <row r="141" spans="1:14" x14ac:dyDescent="0.25">
      <c r="A141" s="2"/>
      <c r="B141" s="2"/>
      <c r="C141" s="2"/>
      <c r="D141" s="2"/>
      <c r="E141" s="2"/>
      <c r="F141" s="37"/>
      <c r="G141" s="37"/>
      <c r="H141" s="43">
        <f t="shared" si="2"/>
        <v>0</v>
      </c>
      <c r="I141" s="2"/>
      <c r="J141" s="2"/>
      <c r="K141" s="2"/>
      <c r="L141" s="2"/>
      <c r="M141" s="2"/>
      <c r="N141" s="2"/>
    </row>
    <row r="142" spans="1:14" x14ac:dyDescent="0.25">
      <c r="A142" s="2"/>
      <c r="B142" s="2"/>
      <c r="C142" s="2"/>
      <c r="D142" s="2"/>
      <c r="E142" s="2"/>
      <c r="F142" s="37"/>
      <c r="G142" s="37"/>
      <c r="H142" s="43">
        <f t="shared" si="2"/>
        <v>0</v>
      </c>
      <c r="I142" s="2"/>
      <c r="J142" s="2"/>
      <c r="K142" s="2"/>
      <c r="L142" s="2"/>
      <c r="M142" s="2"/>
      <c r="N142" s="2"/>
    </row>
    <row r="143" spans="1:14" x14ac:dyDescent="0.25">
      <c r="A143" s="2"/>
      <c r="B143" s="2"/>
      <c r="C143" s="2"/>
      <c r="D143" s="2"/>
      <c r="E143" s="2"/>
      <c r="F143" s="37"/>
      <c r="G143" s="37"/>
      <c r="H143" s="43">
        <f t="shared" si="2"/>
        <v>0</v>
      </c>
      <c r="I143" s="2"/>
      <c r="J143" s="2"/>
      <c r="K143" s="2"/>
      <c r="L143" s="2"/>
      <c r="M143" s="2"/>
      <c r="N143" s="2"/>
    </row>
  </sheetData>
  <dataValidations count="5">
    <dataValidation type="list" allowBlank="1" showInputMessage="1" showErrorMessage="1" sqref="J4:J143" xr:uid="{C4D2E75F-3D8A-4C7F-9288-AAB593ADDF32}">
      <formula1>"Critical,High,Medium,Low"</formula1>
    </dataValidation>
    <dataValidation type="list" sqref="M4:N143" xr:uid="{3E7CDAF3-19AA-4B5A-9521-D482C4AA227F}">
      <formula1>"TBC,Not Started,In Progress,Ready,Blocked,Complete,N/A"</formula1>
    </dataValidation>
    <dataValidation type="list" allowBlank="1" showInputMessage="1" showErrorMessage="1" sqref="A4:A143" xr:uid="{7EFDC669-C71C-4AA2-A424-4E4728091DD3}">
      <formula1>"Public Web,Secure Web"</formula1>
    </dataValidation>
    <dataValidation type="list" allowBlank="1" showInputMessage="1" showErrorMessage="1" sqref="K4:K143" xr:uid="{7A976DE3-A97E-48BE-BADF-6BBDEE4914D4}">
      <formula1>"Yes,No"</formula1>
    </dataValidation>
    <dataValidation type="list" allowBlank="1" showInputMessage="1" showErrorMessage="1" sqref="I4:I143" xr:uid="{CDBE3CEB-F0F9-4A77-B070-943D114EF67B}">
      <formula1>"10%,20%,30%,40%,50%,60%,70%,80%,90%,100%"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35AC-3AAA-44F9-9BC0-C5A3685E3DA8}">
  <dimension ref="A1:N149"/>
  <sheetViews>
    <sheetView topLeftCell="G1" workbookViewId="0">
      <selection activeCell="E5" sqref="E5"/>
    </sheetView>
  </sheetViews>
  <sheetFormatPr defaultColWidth="38.7109375" defaultRowHeight="15" x14ac:dyDescent="0.25"/>
  <cols>
    <col min="1" max="1" width="20.42578125" customWidth="1"/>
    <col min="2" max="2" width="32.42578125" customWidth="1"/>
    <col min="3" max="3" width="26.7109375" customWidth="1"/>
    <col min="4" max="4" width="25.7109375" customWidth="1"/>
    <col min="5" max="5" width="72.140625" customWidth="1"/>
    <col min="6" max="7" width="18.42578125" customWidth="1"/>
    <col min="8" max="8" width="12" style="40" customWidth="1"/>
    <col min="9" max="9" width="23.42578125" customWidth="1"/>
    <col min="10" max="10" width="14.42578125" customWidth="1"/>
    <col min="11" max="11" width="18.7109375" customWidth="1"/>
    <col min="12" max="12" width="71.5703125" style="65" customWidth="1"/>
    <col min="13" max="13" width="18.28515625" customWidth="1"/>
    <col min="14" max="14" width="62.7109375" customWidth="1"/>
  </cols>
  <sheetData>
    <row r="1" spans="1:14" ht="21.75" x14ac:dyDescent="0.25">
      <c r="A1" s="7" t="s">
        <v>16</v>
      </c>
      <c r="B1" s="7" t="s">
        <v>17</v>
      </c>
    </row>
    <row r="2" spans="1:14" ht="21.75" x14ac:dyDescent="0.25">
      <c r="A2" s="7" t="s">
        <v>1</v>
      </c>
      <c r="B2" s="7"/>
    </row>
    <row r="3" spans="1:14" ht="120" x14ac:dyDescent="0.25">
      <c r="A3" s="8" t="s">
        <v>2</v>
      </c>
      <c r="B3" s="8" t="s">
        <v>3</v>
      </c>
      <c r="C3" s="9" t="s">
        <v>4</v>
      </c>
      <c r="D3" s="10" t="s">
        <v>5</v>
      </c>
      <c r="E3" s="8" t="s">
        <v>6</v>
      </c>
      <c r="F3" s="8" t="s">
        <v>7</v>
      </c>
      <c r="G3" s="8" t="s">
        <v>8</v>
      </c>
      <c r="H3" s="8" t="s">
        <v>9</v>
      </c>
      <c r="I3" s="8" t="s">
        <v>10</v>
      </c>
      <c r="J3" s="8" t="s">
        <v>11</v>
      </c>
      <c r="K3" s="11" t="s">
        <v>12</v>
      </c>
      <c r="L3" s="11" t="s">
        <v>13</v>
      </c>
      <c r="M3" s="10" t="s">
        <v>14</v>
      </c>
      <c r="N3" s="50" t="s">
        <v>15</v>
      </c>
    </row>
    <row r="4" spans="1:14" ht="96" customHeight="1" x14ac:dyDescent="0.25">
      <c r="A4" s="2" t="s">
        <v>35</v>
      </c>
      <c r="B4" s="2" t="s">
        <v>86</v>
      </c>
      <c r="C4" s="2" t="s">
        <v>109</v>
      </c>
      <c r="D4" s="2" t="s">
        <v>107</v>
      </c>
      <c r="E4" s="2" t="s">
        <v>296</v>
      </c>
      <c r="F4" s="38">
        <v>46177</v>
      </c>
      <c r="G4" s="38">
        <v>46181</v>
      </c>
      <c r="H4" s="41">
        <f>NETWORKDAYS(F4,G4)</f>
        <v>3</v>
      </c>
      <c r="I4" s="39">
        <v>1</v>
      </c>
      <c r="J4" s="2" t="s">
        <v>31</v>
      </c>
      <c r="K4" s="2" t="s">
        <v>32</v>
      </c>
      <c r="L4" s="2" t="s">
        <v>314</v>
      </c>
      <c r="M4" s="64" t="s">
        <v>36</v>
      </c>
      <c r="N4" s="69" t="s">
        <v>330</v>
      </c>
    </row>
    <row r="5" spans="1:14" ht="126.75" customHeight="1" x14ac:dyDescent="0.25">
      <c r="A5" s="2" t="s">
        <v>35</v>
      </c>
      <c r="B5" s="2" t="s">
        <v>86</v>
      </c>
      <c r="C5" s="2" t="s">
        <v>109</v>
      </c>
      <c r="D5" s="2" t="s">
        <v>106</v>
      </c>
      <c r="E5" s="2" t="s">
        <v>296</v>
      </c>
      <c r="F5" s="38">
        <v>46183</v>
      </c>
      <c r="G5" s="38">
        <v>46188</v>
      </c>
      <c r="H5" s="41">
        <f>NETWORKDAYS(F5,G5)</f>
        <v>4</v>
      </c>
      <c r="I5" s="39">
        <v>1</v>
      </c>
      <c r="J5" s="2" t="s">
        <v>31</v>
      </c>
      <c r="K5" s="2" t="s">
        <v>32</v>
      </c>
      <c r="L5" s="2" t="s">
        <v>219</v>
      </c>
      <c r="M5" s="64" t="s">
        <v>36</v>
      </c>
      <c r="N5" s="66"/>
    </row>
    <row r="6" spans="1:14" ht="75" customHeight="1" x14ac:dyDescent="0.25">
      <c r="A6" s="2" t="s">
        <v>35</v>
      </c>
      <c r="B6" s="2" t="s">
        <v>86</v>
      </c>
      <c r="C6" s="2" t="s">
        <v>109</v>
      </c>
      <c r="D6" s="2" t="s">
        <v>295</v>
      </c>
      <c r="E6" s="2" t="s">
        <v>297</v>
      </c>
      <c r="F6" s="38">
        <v>46189</v>
      </c>
      <c r="G6" s="38">
        <v>46189</v>
      </c>
      <c r="H6" s="41">
        <f>NETWORKDAYS(F6,G6)</f>
        <v>1</v>
      </c>
      <c r="I6" s="39">
        <v>1</v>
      </c>
      <c r="J6" s="2" t="s">
        <v>31</v>
      </c>
      <c r="K6" s="2" t="s">
        <v>32</v>
      </c>
      <c r="L6" s="2" t="s">
        <v>219</v>
      </c>
      <c r="M6" s="64" t="s">
        <v>36</v>
      </c>
      <c r="N6" s="66"/>
    </row>
    <row r="7" spans="1:14" ht="45.75" customHeight="1" x14ac:dyDescent="0.25">
      <c r="A7" s="2" t="s">
        <v>35</v>
      </c>
      <c r="B7" s="2" t="s">
        <v>86</v>
      </c>
      <c r="C7" s="2" t="s">
        <v>109</v>
      </c>
      <c r="D7" s="2" t="s">
        <v>190</v>
      </c>
      <c r="E7" s="2" t="s">
        <v>308</v>
      </c>
      <c r="F7" s="38">
        <v>46192</v>
      </c>
      <c r="G7" s="38">
        <v>46196</v>
      </c>
      <c r="H7" s="41">
        <f>NETWORKDAYS(F7,G7)</f>
        <v>3</v>
      </c>
      <c r="I7" s="39">
        <v>0.8</v>
      </c>
      <c r="J7" s="2" t="s">
        <v>31</v>
      </c>
      <c r="K7" s="2" t="s">
        <v>32</v>
      </c>
      <c r="L7" s="2" t="s">
        <v>219</v>
      </c>
      <c r="M7" s="64" t="s">
        <v>36</v>
      </c>
      <c r="N7" s="66"/>
    </row>
    <row r="8" spans="1:14" ht="45.75" customHeight="1" x14ac:dyDescent="0.25">
      <c r="A8" s="2" t="s">
        <v>35</v>
      </c>
      <c r="B8" s="2" t="s">
        <v>86</v>
      </c>
      <c r="C8" s="2" t="s">
        <v>121</v>
      </c>
      <c r="D8" s="2" t="s">
        <v>190</v>
      </c>
      <c r="E8" s="2" t="s">
        <v>308</v>
      </c>
      <c r="F8" s="38">
        <v>46192</v>
      </c>
      <c r="G8" s="38">
        <v>46196</v>
      </c>
      <c r="H8" s="41">
        <f>NETWORKDAYS(F8,G8)</f>
        <v>3</v>
      </c>
      <c r="I8" s="39">
        <v>0.8</v>
      </c>
      <c r="J8" s="2" t="s">
        <v>31</v>
      </c>
      <c r="K8" s="2" t="s">
        <v>32</v>
      </c>
      <c r="L8" s="2" t="s">
        <v>219</v>
      </c>
      <c r="M8" s="64" t="s">
        <v>36</v>
      </c>
      <c r="N8" s="66"/>
    </row>
    <row r="9" spans="1:14" ht="45.75" customHeight="1" x14ac:dyDescent="0.25">
      <c r="A9" s="2" t="s">
        <v>35</v>
      </c>
      <c r="B9" s="2" t="s">
        <v>86</v>
      </c>
      <c r="C9" s="2" t="s">
        <v>119</v>
      </c>
      <c r="D9" s="2" t="s">
        <v>190</v>
      </c>
      <c r="E9" s="2" t="s">
        <v>308</v>
      </c>
      <c r="F9" s="38">
        <v>46197</v>
      </c>
      <c r="G9" s="38">
        <v>46199</v>
      </c>
      <c r="H9" s="41">
        <f>NETWORKDAYS(F9,G9)</f>
        <v>3</v>
      </c>
      <c r="I9" s="39">
        <v>0.8</v>
      </c>
      <c r="J9" s="2" t="s">
        <v>31</v>
      </c>
      <c r="K9" s="2" t="s">
        <v>32</v>
      </c>
      <c r="L9" s="2" t="s">
        <v>219</v>
      </c>
      <c r="M9" s="64" t="s">
        <v>36</v>
      </c>
      <c r="N9" s="66"/>
    </row>
    <row r="10" spans="1:14" ht="38.25" customHeight="1" x14ac:dyDescent="0.25">
      <c r="A10" s="2" t="s">
        <v>35</v>
      </c>
      <c r="B10" s="2" t="s">
        <v>86</v>
      </c>
      <c r="C10" s="2" t="s">
        <v>120</v>
      </c>
      <c r="D10" s="2" t="s">
        <v>190</v>
      </c>
      <c r="E10" s="2" t="s">
        <v>308</v>
      </c>
      <c r="F10" s="38">
        <v>46202</v>
      </c>
      <c r="G10" s="38">
        <v>46206</v>
      </c>
      <c r="H10" s="41">
        <f>NETWORKDAYS(F10,G10)</f>
        <v>5</v>
      </c>
      <c r="I10" s="39">
        <v>0.8</v>
      </c>
      <c r="J10" s="2" t="s">
        <v>31</v>
      </c>
      <c r="K10" s="2" t="s">
        <v>32</v>
      </c>
      <c r="L10" s="2" t="s">
        <v>219</v>
      </c>
      <c r="M10" s="64" t="s">
        <v>36</v>
      </c>
      <c r="N10" s="66"/>
    </row>
    <row r="11" spans="1:14" ht="97.5" customHeight="1" x14ac:dyDescent="0.25">
      <c r="A11" s="2" t="s">
        <v>35</v>
      </c>
      <c r="B11" s="2" t="s">
        <v>333</v>
      </c>
      <c r="C11" s="2" t="s">
        <v>331</v>
      </c>
      <c r="D11" s="2" t="s">
        <v>331</v>
      </c>
      <c r="E11" s="2" t="s">
        <v>332</v>
      </c>
      <c r="F11" s="38">
        <v>46181</v>
      </c>
      <c r="G11" s="38">
        <v>46203</v>
      </c>
      <c r="H11" s="41">
        <f>NETWORKDAYS(F11,G11)</f>
        <v>17</v>
      </c>
      <c r="I11" s="39">
        <v>1</v>
      </c>
      <c r="J11" s="2" t="s">
        <v>31</v>
      </c>
      <c r="K11" s="2" t="s">
        <v>27</v>
      </c>
      <c r="L11" s="2"/>
      <c r="M11" s="64" t="s">
        <v>29</v>
      </c>
      <c r="N11" s="66"/>
    </row>
    <row r="12" spans="1:14" ht="45.75" customHeight="1" x14ac:dyDescent="0.25">
      <c r="A12" s="2" t="s">
        <v>35</v>
      </c>
      <c r="B12" s="2" t="s">
        <v>86</v>
      </c>
      <c r="C12" s="2" t="s">
        <v>109</v>
      </c>
      <c r="D12" s="2" t="s">
        <v>217</v>
      </c>
      <c r="E12" s="2" t="s">
        <v>218</v>
      </c>
      <c r="F12" s="38">
        <v>46209</v>
      </c>
      <c r="G12" s="38">
        <v>46211</v>
      </c>
      <c r="H12" s="41">
        <f>NETWORKDAYS(F12,G12)</f>
        <v>3</v>
      </c>
      <c r="I12" s="39">
        <v>1</v>
      </c>
      <c r="J12" s="2" t="s">
        <v>31</v>
      </c>
      <c r="K12" s="2" t="s">
        <v>32</v>
      </c>
      <c r="L12" s="2" t="s">
        <v>219</v>
      </c>
      <c r="M12" s="64" t="s">
        <v>36</v>
      </c>
      <c r="N12" s="66"/>
    </row>
    <row r="13" spans="1:14" ht="97.5" customHeight="1" x14ac:dyDescent="0.25">
      <c r="A13" s="2" t="s">
        <v>35</v>
      </c>
      <c r="B13" s="2" t="s">
        <v>86</v>
      </c>
      <c r="C13" s="2" t="s">
        <v>109</v>
      </c>
      <c r="D13" s="2" t="s">
        <v>222</v>
      </c>
      <c r="E13" s="2" t="s">
        <v>284</v>
      </c>
      <c r="F13" s="38">
        <v>46209</v>
      </c>
      <c r="G13" s="38">
        <v>46218</v>
      </c>
      <c r="H13" s="41">
        <f>NETWORKDAYS(F13,G13)</f>
        <v>8</v>
      </c>
      <c r="I13" s="39">
        <v>1</v>
      </c>
      <c r="J13" s="2" t="s">
        <v>31</v>
      </c>
      <c r="K13" s="2" t="s">
        <v>32</v>
      </c>
      <c r="L13" s="2" t="s">
        <v>219</v>
      </c>
      <c r="M13" s="64" t="s">
        <v>327</v>
      </c>
      <c r="N13" s="66"/>
    </row>
    <row r="14" spans="1:14" ht="45" x14ac:dyDescent="0.25">
      <c r="A14" s="2" t="s">
        <v>35</v>
      </c>
      <c r="B14" s="2" t="s">
        <v>86</v>
      </c>
      <c r="C14" s="2" t="s">
        <v>109</v>
      </c>
      <c r="D14" s="2" t="s">
        <v>223</v>
      </c>
      <c r="E14" s="2" t="s">
        <v>286</v>
      </c>
      <c r="F14" s="38">
        <v>46219</v>
      </c>
      <c r="G14" s="38">
        <v>46223</v>
      </c>
      <c r="H14" s="41">
        <f>NETWORKDAYS(F14,G14)</f>
        <v>3</v>
      </c>
      <c r="I14" s="39">
        <v>1</v>
      </c>
      <c r="J14" s="2" t="s">
        <v>31</v>
      </c>
      <c r="K14" s="2" t="s">
        <v>32</v>
      </c>
      <c r="L14" s="2" t="s">
        <v>219</v>
      </c>
      <c r="M14" s="64" t="s">
        <v>36</v>
      </c>
      <c r="N14" s="66"/>
    </row>
    <row r="15" spans="1:14" ht="102" customHeight="1" x14ac:dyDescent="0.25">
      <c r="A15" s="2" t="s">
        <v>35</v>
      </c>
      <c r="B15" s="2" t="s">
        <v>86</v>
      </c>
      <c r="C15" s="2" t="s">
        <v>109</v>
      </c>
      <c r="D15" s="2" t="s">
        <v>224</v>
      </c>
      <c r="E15" s="2" t="s">
        <v>284</v>
      </c>
      <c r="F15" s="38">
        <v>46224</v>
      </c>
      <c r="G15" s="38">
        <v>46237</v>
      </c>
      <c r="H15" s="41">
        <f>NETWORKDAYS(F15,G15)</f>
        <v>10</v>
      </c>
      <c r="I15" s="39">
        <v>1</v>
      </c>
      <c r="J15" s="2" t="s">
        <v>31</v>
      </c>
      <c r="K15" s="2" t="s">
        <v>32</v>
      </c>
      <c r="L15" s="2" t="s">
        <v>219</v>
      </c>
      <c r="M15" s="64" t="s">
        <v>36</v>
      </c>
      <c r="N15" s="66"/>
    </row>
    <row r="16" spans="1:14" ht="105" x14ac:dyDescent="0.25">
      <c r="A16" s="2" t="s">
        <v>35</v>
      </c>
      <c r="B16" s="2" t="s">
        <v>86</v>
      </c>
      <c r="C16" s="2" t="s">
        <v>109</v>
      </c>
      <c r="D16" s="2" t="s">
        <v>127</v>
      </c>
      <c r="E16" s="2" t="s">
        <v>287</v>
      </c>
      <c r="F16" s="38">
        <v>46238</v>
      </c>
      <c r="G16" s="38">
        <v>46241</v>
      </c>
      <c r="H16" s="41">
        <f t="shared" ref="H14:H77" si="0">NETWORKDAYS(F16,G16)</f>
        <v>4</v>
      </c>
      <c r="I16" s="39">
        <v>1</v>
      </c>
      <c r="J16" s="2" t="s">
        <v>31</v>
      </c>
      <c r="K16" s="2" t="s">
        <v>32</v>
      </c>
      <c r="L16" s="2" t="s">
        <v>219</v>
      </c>
      <c r="M16" s="64" t="s">
        <v>36</v>
      </c>
      <c r="N16" s="66"/>
    </row>
    <row r="17" spans="1:14" ht="105" x14ac:dyDescent="0.25">
      <c r="A17" s="2" t="s">
        <v>35</v>
      </c>
      <c r="B17" s="2" t="s">
        <v>86</v>
      </c>
      <c r="C17" s="2" t="s">
        <v>109</v>
      </c>
      <c r="D17" s="2" t="s">
        <v>128</v>
      </c>
      <c r="E17" s="2" t="s">
        <v>287</v>
      </c>
      <c r="F17" s="38">
        <v>46244</v>
      </c>
      <c r="G17" s="38">
        <v>46247</v>
      </c>
      <c r="H17" s="41">
        <f>NETWORKDAYS(F17,G17)</f>
        <v>4</v>
      </c>
      <c r="I17" s="39">
        <v>1</v>
      </c>
      <c r="J17" s="2" t="s">
        <v>31</v>
      </c>
      <c r="K17" s="2" t="s">
        <v>32</v>
      </c>
      <c r="L17" s="2" t="s">
        <v>219</v>
      </c>
      <c r="M17" s="64" t="s">
        <v>36</v>
      </c>
      <c r="N17" s="66"/>
    </row>
    <row r="18" spans="1:14" ht="30" x14ac:dyDescent="0.25">
      <c r="A18" s="2" t="s">
        <v>35</v>
      </c>
      <c r="B18" s="2" t="s">
        <v>82</v>
      </c>
      <c r="C18" s="2" t="s">
        <v>102</v>
      </c>
      <c r="D18" s="2" t="s">
        <v>102</v>
      </c>
      <c r="E18" s="2" t="s">
        <v>225</v>
      </c>
      <c r="F18" s="38">
        <v>46248</v>
      </c>
      <c r="G18" s="38">
        <v>46251</v>
      </c>
      <c r="H18" s="41">
        <f t="shared" si="0"/>
        <v>2</v>
      </c>
      <c r="I18" s="39">
        <v>1</v>
      </c>
      <c r="J18" s="2" t="s">
        <v>31</v>
      </c>
      <c r="K18" s="2" t="s">
        <v>32</v>
      </c>
      <c r="L18" s="2" t="s">
        <v>219</v>
      </c>
      <c r="M18" s="64" t="s">
        <v>36</v>
      </c>
      <c r="N18" s="66"/>
    </row>
    <row r="19" spans="1:14" ht="30" x14ac:dyDescent="0.25">
      <c r="A19" s="2" t="s">
        <v>35</v>
      </c>
      <c r="B19" s="2" t="s">
        <v>129</v>
      </c>
      <c r="C19" s="2" t="s">
        <v>102</v>
      </c>
      <c r="D19" s="2" t="s">
        <v>102</v>
      </c>
      <c r="E19" s="2" t="s">
        <v>225</v>
      </c>
      <c r="F19" s="38">
        <v>46252</v>
      </c>
      <c r="G19" s="38">
        <v>46253</v>
      </c>
      <c r="H19" s="41">
        <f t="shared" si="0"/>
        <v>2</v>
      </c>
      <c r="I19" s="39">
        <v>1</v>
      </c>
      <c r="J19" s="2" t="s">
        <v>31</v>
      </c>
      <c r="K19" s="2" t="s">
        <v>32</v>
      </c>
      <c r="L19" s="2" t="s">
        <v>219</v>
      </c>
      <c r="M19" s="64" t="s">
        <v>36</v>
      </c>
      <c r="N19" s="66"/>
    </row>
    <row r="20" spans="1:14" ht="30" x14ac:dyDescent="0.25">
      <c r="A20" s="2" t="s">
        <v>35</v>
      </c>
      <c r="B20" s="2" t="s">
        <v>318</v>
      </c>
      <c r="C20" s="2" t="s">
        <v>102</v>
      </c>
      <c r="D20" s="2" t="s">
        <v>102</v>
      </c>
      <c r="E20" s="2" t="s">
        <v>225</v>
      </c>
      <c r="F20" s="38">
        <v>46254</v>
      </c>
      <c r="G20" s="38">
        <v>46255</v>
      </c>
      <c r="H20" s="41">
        <f t="shared" si="0"/>
        <v>2</v>
      </c>
      <c r="I20" s="39">
        <v>1</v>
      </c>
      <c r="J20" s="2" t="s">
        <v>31</v>
      </c>
      <c r="K20" s="2" t="s">
        <v>32</v>
      </c>
      <c r="L20" s="2" t="s">
        <v>219</v>
      </c>
      <c r="M20" s="64" t="s">
        <v>36</v>
      </c>
      <c r="N20" s="66"/>
    </row>
    <row r="21" spans="1:14" ht="33.75" customHeight="1" x14ac:dyDescent="0.25">
      <c r="A21" s="2" t="s">
        <v>35</v>
      </c>
      <c r="B21" s="2" t="s">
        <v>86</v>
      </c>
      <c r="C21" s="2" t="s">
        <v>120</v>
      </c>
      <c r="D21" s="2" t="s">
        <v>241</v>
      </c>
      <c r="E21" s="2" t="s">
        <v>218</v>
      </c>
      <c r="F21" s="38">
        <v>46209</v>
      </c>
      <c r="G21" s="38">
        <v>46213</v>
      </c>
      <c r="H21" s="41">
        <f>NETWORKDAYS(F21,G21)</f>
        <v>5</v>
      </c>
      <c r="I21" s="39">
        <v>0.7</v>
      </c>
      <c r="J21" s="2" t="s">
        <v>31</v>
      </c>
      <c r="K21" s="2" t="s">
        <v>32</v>
      </c>
      <c r="L21" s="2" t="s">
        <v>219</v>
      </c>
      <c r="M21" s="64" t="s">
        <v>36</v>
      </c>
      <c r="N21" s="66"/>
    </row>
    <row r="22" spans="1:14" ht="122.25" customHeight="1" x14ac:dyDescent="0.25">
      <c r="A22" s="2" t="s">
        <v>35</v>
      </c>
      <c r="B22" s="2" t="s">
        <v>86</v>
      </c>
      <c r="C22" s="2" t="s">
        <v>120</v>
      </c>
      <c r="D22" s="2" t="s">
        <v>222</v>
      </c>
      <c r="E22" s="2" t="s">
        <v>284</v>
      </c>
      <c r="F22" s="38">
        <v>46216</v>
      </c>
      <c r="G22" s="38">
        <v>46234</v>
      </c>
      <c r="H22" s="41">
        <f>NETWORKDAYS(F22,G22)</f>
        <v>15</v>
      </c>
      <c r="I22" s="39">
        <v>0.7</v>
      </c>
      <c r="J22" s="2" t="s">
        <v>31</v>
      </c>
      <c r="K22" s="2" t="s">
        <v>32</v>
      </c>
      <c r="L22" s="2" t="s">
        <v>219</v>
      </c>
      <c r="M22" s="64" t="s">
        <v>36</v>
      </c>
      <c r="N22" s="66"/>
    </row>
    <row r="23" spans="1:14" ht="105" x14ac:dyDescent="0.25">
      <c r="A23" s="2" t="s">
        <v>35</v>
      </c>
      <c r="B23" s="2" t="s">
        <v>86</v>
      </c>
      <c r="C23" s="2" t="s">
        <v>120</v>
      </c>
      <c r="D23" s="2" t="s">
        <v>226</v>
      </c>
      <c r="E23" s="2" t="s">
        <v>284</v>
      </c>
      <c r="F23" s="38">
        <v>46237</v>
      </c>
      <c r="G23" s="38">
        <v>46255</v>
      </c>
      <c r="H23" s="41">
        <f>NETWORKDAYS(F23,G23)</f>
        <v>15</v>
      </c>
      <c r="I23" s="39">
        <v>0.7</v>
      </c>
      <c r="J23" s="2" t="s">
        <v>31</v>
      </c>
      <c r="K23" s="2" t="s">
        <v>32</v>
      </c>
      <c r="L23" s="2" t="s">
        <v>219</v>
      </c>
      <c r="M23" s="64" t="s">
        <v>36</v>
      </c>
      <c r="N23" s="66"/>
    </row>
    <row r="24" spans="1:14" ht="105" x14ac:dyDescent="0.25">
      <c r="A24" s="2" t="s">
        <v>35</v>
      </c>
      <c r="B24" s="2" t="s">
        <v>86</v>
      </c>
      <c r="C24" s="2" t="s">
        <v>120</v>
      </c>
      <c r="D24" s="2" t="s">
        <v>227</v>
      </c>
      <c r="E24" s="2" t="s">
        <v>287</v>
      </c>
      <c r="F24" s="38">
        <v>46258</v>
      </c>
      <c r="G24" s="38">
        <v>46262</v>
      </c>
      <c r="H24" s="41">
        <f>NETWORKDAYS(F24,G24)</f>
        <v>5</v>
      </c>
      <c r="I24" s="39">
        <v>0.7</v>
      </c>
      <c r="J24" s="2" t="s">
        <v>31</v>
      </c>
      <c r="K24" s="2" t="s">
        <v>32</v>
      </c>
      <c r="L24" s="2" t="s">
        <v>219</v>
      </c>
      <c r="M24" s="64" t="s">
        <v>36</v>
      </c>
      <c r="N24" s="66"/>
    </row>
    <row r="25" spans="1:14" ht="105" x14ac:dyDescent="0.25">
      <c r="A25" s="2" t="s">
        <v>35</v>
      </c>
      <c r="B25" s="2" t="s">
        <v>86</v>
      </c>
      <c r="C25" s="2" t="s">
        <v>120</v>
      </c>
      <c r="D25" s="2" t="s">
        <v>228</v>
      </c>
      <c r="E25" s="2" t="s">
        <v>287</v>
      </c>
      <c r="F25" s="38">
        <v>46265</v>
      </c>
      <c r="G25" s="38">
        <v>46269</v>
      </c>
      <c r="H25" s="41">
        <f>NETWORKDAYS(F25,G25)</f>
        <v>5</v>
      </c>
      <c r="I25" s="39">
        <v>0.7</v>
      </c>
      <c r="J25" s="2" t="s">
        <v>31</v>
      </c>
      <c r="K25" s="2" t="s">
        <v>32</v>
      </c>
      <c r="L25" s="2" t="s">
        <v>219</v>
      </c>
      <c r="M25" s="64" t="s">
        <v>36</v>
      </c>
      <c r="N25" s="66"/>
    </row>
    <row r="26" spans="1:14" ht="35.25" customHeight="1" x14ac:dyDescent="0.25">
      <c r="A26" s="2" t="s">
        <v>35</v>
      </c>
      <c r="B26" s="2" t="s">
        <v>86</v>
      </c>
      <c r="C26" s="2" t="s">
        <v>119</v>
      </c>
      <c r="D26" s="2" t="s">
        <v>246</v>
      </c>
      <c r="E26" s="2" t="s">
        <v>218</v>
      </c>
      <c r="F26" s="38">
        <v>46209</v>
      </c>
      <c r="G26" s="38">
        <v>46212</v>
      </c>
      <c r="H26" s="41">
        <f>NETWORKDAYS(F26,G26)</f>
        <v>4</v>
      </c>
      <c r="I26" s="39">
        <v>1</v>
      </c>
      <c r="J26" s="2" t="s">
        <v>31</v>
      </c>
      <c r="K26" s="2" t="s">
        <v>32</v>
      </c>
      <c r="L26" s="2" t="s">
        <v>219</v>
      </c>
      <c r="M26" s="64" t="s">
        <v>36</v>
      </c>
      <c r="N26" s="66"/>
    </row>
    <row r="27" spans="1:14" ht="105" x14ac:dyDescent="0.25">
      <c r="A27" s="2" t="s">
        <v>35</v>
      </c>
      <c r="B27" s="2" t="s">
        <v>86</v>
      </c>
      <c r="C27" s="2" t="s">
        <v>119</v>
      </c>
      <c r="D27" s="2" t="s">
        <v>237</v>
      </c>
      <c r="E27" s="2" t="s">
        <v>284</v>
      </c>
      <c r="F27" s="38">
        <v>46209</v>
      </c>
      <c r="G27" s="38">
        <v>46218</v>
      </c>
      <c r="H27" s="41">
        <f>NETWORKDAYS(F27,G27)</f>
        <v>8</v>
      </c>
      <c r="I27" s="39">
        <v>1</v>
      </c>
      <c r="J27" s="2" t="s">
        <v>31</v>
      </c>
      <c r="K27" s="2" t="s">
        <v>32</v>
      </c>
      <c r="L27" s="2" t="s">
        <v>219</v>
      </c>
      <c r="M27" s="64" t="s">
        <v>36</v>
      </c>
      <c r="N27" s="66"/>
    </row>
    <row r="28" spans="1:14" ht="105" x14ac:dyDescent="0.25">
      <c r="A28" s="2" t="s">
        <v>35</v>
      </c>
      <c r="B28" s="2" t="s">
        <v>86</v>
      </c>
      <c r="C28" s="2" t="s">
        <v>119</v>
      </c>
      <c r="D28" s="2" t="s">
        <v>247</v>
      </c>
      <c r="E28" s="2" t="s">
        <v>284</v>
      </c>
      <c r="F28" s="38">
        <v>46219</v>
      </c>
      <c r="G28" s="38">
        <v>46230</v>
      </c>
      <c r="H28" s="41">
        <f>NETWORKDAYS(F28,G28)</f>
        <v>8</v>
      </c>
      <c r="I28" s="39">
        <v>1</v>
      </c>
      <c r="J28" s="2" t="s">
        <v>31</v>
      </c>
      <c r="K28" s="2" t="s">
        <v>32</v>
      </c>
      <c r="L28" s="2" t="s">
        <v>219</v>
      </c>
      <c r="M28" s="64" t="s">
        <v>36</v>
      </c>
      <c r="N28" s="66"/>
    </row>
    <row r="29" spans="1:14" ht="105" x14ac:dyDescent="0.25">
      <c r="A29" s="2" t="s">
        <v>35</v>
      </c>
      <c r="B29" s="2" t="s">
        <v>86</v>
      </c>
      <c r="C29" s="2" t="s">
        <v>119</v>
      </c>
      <c r="D29" s="2" t="s">
        <v>270</v>
      </c>
      <c r="E29" s="2" t="s">
        <v>284</v>
      </c>
      <c r="F29" s="38">
        <v>46231</v>
      </c>
      <c r="G29" s="38">
        <v>46240</v>
      </c>
      <c r="H29" s="41">
        <f>NETWORKDAYS(F29,G29)</f>
        <v>8</v>
      </c>
      <c r="I29" s="39">
        <v>1</v>
      </c>
      <c r="J29" s="2" t="s">
        <v>31</v>
      </c>
      <c r="K29" s="2" t="s">
        <v>32</v>
      </c>
      <c r="L29" s="2" t="s">
        <v>219</v>
      </c>
      <c r="M29" s="64" t="s">
        <v>36</v>
      </c>
      <c r="N29" s="66"/>
    </row>
    <row r="30" spans="1:14" ht="51.75" customHeight="1" x14ac:dyDescent="0.25">
      <c r="A30" s="2" t="s">
        <v>35</v>
      </c>
      <c r="B30" s="2" t="s">
        <v>86</v>
      </c>
      <c r="C30" s="2" t="s">
        <v>121</v>
      </c>
      <c r="D30" s="2" t="s">
        <v>275</v>
      </c>
      <c r="E30" s="2" t="s">
        <v>218</v>
      </c>
      <c r="F30" s="38">
        <v>46209</v>
      </c>
      <c r="G30" s="38">
        <v>46212</v>
      </c>
      <c r="H30" s="41">
        <f>NETWORKDAYS(F30,G30)</f>
        <v>4</v>
      </c>
      <c r="I30" s="39">
        <v>1</v>
      </c>
      <c r="J30" s="2" t="s">
        <v>31</v>
      </c>
      <c r="K30" s="2" t="s">
        <v>32</v>
      </c>
      <c r="L30" s="2" t="s">
        <v>219</v>
      </c>
      <c r="M30" s="64" t="s">
        <v>36</v>
      </c>
      <c r="N30" s="66"/>
    </row>
    <row r="31" spans="1:14" ht="105" x14ac:dyDescent="0.25">
      <c r="A31" s="2" t="s">
        <v>35</v>
      </c>
      <c r="B31" s="2" t="s">
        <v>86</v>
      </c>
      <c r="C31" s="2" t="s">
        <v>121</v>
      </c>
      <c r="D31" s="2" t="s">
        <v>224</v>
      </c>
      <c r="E31" s="2" t="s">
        <v>284</v>
      </c>
      <c r="F31" s="38">
        <v>46209</v>
      </c>
      <c r="G31" s="38">
        <v>46218</v>
      </c>
      <c r="H31" s="41">
        <f>NETWORKDAYS(F31,G31)</f>
        <v>8</v>
      </c>
      <c r="I31" s="39">
        <v>1</v>
      </c>
      <c r="J31" s="2" t="s">
        <v>31</v>
      </c>
      <c r="K31" s="2" t="s">
        <v>32</v>
      </c>
      <c r="L31" s="2" t="s">
        <v>219</v>
      </c>
      <c r="M31" s="64" t="s">
        <v>36</v>
      </c>
      <c r="N31" s="66"/>
    </row>
    <row r="32" spans="1:14" ht="105" x14ac:dyDescent="0.25">
      <c r="A32" s="2" t="s">
        <v>35</v>
      </c>
      <c r="B32" s="2" t="s">
        <v>86</v>
      </c>
      <c r="C32" s="2" t="s">
        <v>121</v>
      </c>
      <c r="D32" s="2" t="s">
        <v>222</v>
      </c>
      <c r="E32" s="2" t="s">
        <v>284</v>
      </c>
      <c r="F32" s="38">
        <v>46219</v>
      </c>
      <c r="G32" s="38">
        <v>46230</v>
      </c>
      <c r="H32" s="41">
        <f>NETWORKDAYS(F32,G32)</f>
        <v>8</v>
      </c>
      <c r="I32" s="39">
        <v>1</v>
      </c>
      <c r="J32" s="2" t="s">
        <v>31</v>
      </c>
      <c r="K32" s="2" t="s">
        <v>32</v>
      </c>
      <c r="L32" s="2" t="s">
        <v>219</v>
      </c>
      <c r="M32" s="64" t="s">
        <v>36</v>
      </c>
      <c r="N32" s="66"/>
    </row>
    <row r="33" spans="1:14" ht="105" x14ac:dyDescent="0.25">
      <c r="A33" s="2" t="s">
        <v>35</v>
      </c>
      <c r="B33" s="2" t="s">
        <v>86</v>
      </c>
      <c r="C33" s="2" t="s">
        <v>121</v>
      </c>
      <c r="D33" s="2" t="s">
        <v>276</v>
      </c>
      <c r="E33" s="2" t="s">
        <v>284</v>
      </c>
      <c r="F33" s="38">
        <v>46231</v>
      </c>
      <c r="G33" s="38">
        <v>46240</v>
      </c>
      <c r="H33" s="41">
        <f>NETWORKDAYS(F33,G33)</f>
        <v>8</v>
      </c>
      <c r="I33" s="39">
        <v>1</v>
      </c>
      <c r="J33" s="2" t="s">
        <v>31</v>
      </c>
      <c r="K33" s="2" t="s">
        <v>32</v>
      </c>
      <c r="L33" s="2" t="s">
        <v>219</v>
      </c>
      <c r="M33" s="64" t="s">
        <v>36</v>
      </c>
      <c r="N33" s="66"/>
    </row>
    <row r="34" spans="1:14" ht="105" x14ac:dyDescent="0.25">
      <c r="A34" s="2" t="s">
        <v>35</v>
      </c>
      <c r="B34" s="2" t="s">
        <v>86</v>
      </c>
      <c r="C34" s="2" t="s">
        <v>121</v>
      </c>
      <c r="D34" s="2" t="s">
        <v>277</v>
      </c>
      <c r="E34" s="2" t="s">
        <v>284</v>
      </c>
      <c r="F34" s="38">
        <v>46241</v>
      </c>
      <c r="G34" s="38">
        <v>46252</v>
      </c>
      <c r="H34" s="41">
        <f>NETWORKDAYS(F34,G34)</f>
        <v>8</v>
      </c>
      <c r="I34" s="39">
        <v>1</v>
      </c>
      <c r="J34" s="2" t="s">
        <v>31</v>
      </c>
      <c r="K34" s="2" t="s">
        <v>32</v>
      </c>
      <c r="L34" s="2" t="s">
        <v>219</v>
      </c>
      <c r="M34" s="64" t="s">
        <v>36</v>
      </c>
      <c r="N34" s="66"/>
    </row>
    <row r="35" spans="1:14" ht="105" x14ac:dyDescent="0.25">
      <c r="A35" s="2" t="s">
        <v>35</v>
      </c>
      <c r="B35" s="2" t="s">
        <v>86</v>
      </c>
      <c r="C35" s="2" t="s">
        <v>121</v>
      </c>
      <c r="D35" s="2" t="s">
        <v>278</v>
      </c>
      <c r="E35" s="2" t="s">
        <v>284</v>
      </c>
      <c r="F35" s="38">
        <v>46253</v>
      </c>
      <c r="G35" s="38">
        <v>46262</v>
      </c>
      <c r="H35" s="41">
        <f>NETWORKDAYS(F35,G35)</f>
        <v>8</v>
      </c>
      <c r="I35" s="39">
        <v>1</v>
      </c>
      <c r="J35" s="2" t="s">
        <v>31</v>
      </c>
      <c r="K35" s="2" t="s">
        <v>32</v>
      </c>
      <c r="L35" s="68" t="s">
        <v>219</v>
      </c>
      <c r="M35" s="64" t="s">
        <v>36</v>
      </c>
      <c r="N35" s="66"/>
    </row>
    <row r="36" spans="1:14" ht="129" customHeight="1" x14ac:dyDescent="0.25">
      <c r="A36" s="2" t="s">
        <v>35</v>
      </c>
      <c r="B36" s="2" t="s">
        <v>86</v>
      </c>
      <c r="C36" s="2" t="s">
        <v>109</v>
      </c>
      <c r="D36" s="2" t="s">
        <v>328</v>
      </c>
      <c r="E36" s="2" t="s">
        <v>329</v>
      </c>
      <c r="F36" s="38">
        <v>46209</v>
      </c>
      <c r="G36" s="38">
        <v>46276</v>
      </c>
      <c r="H36" s="41">
        <f>NETWORKDAYS(F36,G36)</f>
        <v>50</v>
      </c>
      <c r="I36" s="39">
        <v>0.7</v>
      </c>
      <c r="J36" s="2" t="s">
        <v>31</v>
      </c>
      <c r="K36" s="2" t="s">
        <v>32</v>
      </c>
      <c r="L36" s="68" t="s">
        <v>219</v>
      </c>
      <c r="M36" s="64"/>
      <c r="N36" s="66"/>
    </row>
    <row r="37" spans="1:14" ht="48.75" customHeight="1" x14ac:dyDescent="0.25">
      <c r="A37" s="2" t="s">
        <v>35</v>
      </c>
      <c r="B37" s="2" t="s">
        <v>319</v>
      </c>
      <c r="C37" s="2" t="s">
        <v>190</v>
      </c>
      <c r="D37" s="2" t="s">
        <v>190</v>
      </c>
      <c r="E37" s="2" t="s">
        <v>320</v>
      </c>
      <c r="F37" s="38">
        <v>46254</v>
      </c>
      <c r="G37" s="38">
        <v>46258</v>
      </c>
      <c r="H37" s="41">
        <f>NETWORKDAYS(F37,G37)</f>
        <v>3</v>
      </c>
      <c r="I37" s="39">
        <v>1</v>
      </c>
      <c r="J37" s="2" t="s">
        <v>26</v>
      </c>
      <c r="K37" s="2" t="s">
        <v>32</v>
      </c>
      <c r="L37" s="2" t="s">
        <v>219</v>
      </c>
      <c r="M37" s="64" t="s">
        <v>36</v>
      </c>
      <c r="N37" s="66"/>
    </row>
    <row r="38" spans="1:14" ht="30" x14ac:dyDescent="0.25">
      <c r="A38" s="2" t="s">
        <v>35</v>
      </c>
      <c r="B38" s="2" t="s">
        <v>322</v>
      </c>
      <c r="C38" s="2" t="s">
        <v>190</v>
      </c>
      <c r="D38" s="2" t="s">
        <v>190</v>
      </c>
      <c r="E38" s="2" t="s">
        <v>320</v>
      </c>
      <c r="F38" s="38">
        <v>46254</v>
      </c>
      <c r="G38" s="38">
        <v>46258</v>
      </c>
      <c r="H38" s="41">
        <f>NETWORKDAYS(F38,G38)</f>
        <v>3</v>
      </c>
      <c r="I38" s="39">
        <v>1</v>
      </c>
      <c r="J38" s="2" t="s">
        <v>26</v>
      </c>
      <c r="K38" s="2" t="s">
        <v>32</v>
      </c>
      <c r="L38" s="2" t="s">
        <v>219</v>
      </c>
      <c r="M38" s="64" t="s">
        <v>36</v>
      </c>
      <c r="N38" s="67"/>
    </row>
    <row r="39" spans="1:14" x14ac:dyDescent="0.25">
      <c r="A39" s="2"/>
      <c r="B39" s="2"/>
      <c r="C39" s="2"/>
      <c r="D39" s="2"/>
      <c r="E39" s="2"/>
      <c r="F39" s="37"/>
      <c r="G39" s="37"/>
      <c r="H39" s="41">
        <f t="shared" si="0"/>
        <v>0</v>
      </c>
      <c r="I39" s="2"/>
      <c r="J39" s="2"/>
      <c r="K39" s="2"/>
      <c r="L39" s="2"/>
      <c r="M39" s="2"/>
      <c r="N39" s="2"/>
    </row>
    <row r="40" spans="1:14" x14ac:dyDescent="0.25">
      <c r="A40" s="2"/>
      <c r="B40" s="2"/>
      <c r="C40" s="2"/>
      <c r="D40" s="2"/>
      <c r="E40" s="2"/>
      <c r="F40" s="37"/>
      <c r="G40" s="37"/>
      <c r="H40" s="41">
        <f t="shared" si="0"/>
        <v>0</v>
      </c>
      <c r="I40" s="2"/>
      <c r="J40" s="2"/>
      <c r="K40" s="2"/>
      <c r="L40" s="2"/>
      <c r="M40" s="2"/>
      <c r="N40" s="2"/>
    </row>
    <row r="41" spans="1:14" x14ac:dyDescent="0.25">
      <c r="A41" s="2"/>
      <c r="B41" s="2"/>
      <c r="C41" s="2"/>
      <c r="D41" s="2"/>
      <c r="E41" s="2"/>
      <c r="F41" s="37"/>
      <c r="G41" s="37"/>
      <c r="H41" s="41">
        <f t="shared" si="0"/>
        <v>0</v>
      </c>
      <c r="I41" s="2"/>
      <c r="J41" s="2"/>
      <c r="K41" s="2"/>
      <c r="L41" s="2"/>
      <c r="M41" s="2"/>
      <c r="N41" s="2"/>
    </row>
    <row r="42" spans="1:14" x14ac:dyDescent="0.25">
      <c r="A42" s="2"/>
      <c r="B42" s="2"/>
      <c r="C42" s="2"/>
      <c r="D42" s="2"/>
      <c r="E42" s="2"/>
      <c r="F42" s="37"/>
      <c r="G42" s="37"/>
      <c r="H42" s="41">
        <f t="shared" si="0"/>
        <v>0</v>
      </c>
      <c r="I42" s="2"/>
      <c r="J42" s="2"/>
      <c r="K42" s="2"/>
      <c r="L42" s="2"/>
      <c r="M42" s="2"/>
      <c r="N42" s="2"/>
    </row>
    <row r="43" spans="1:14" x14ac:dyDescent="0.25">
      <c r="A43" s="2"/>
      <c r="B43" s="2"/>
      <c r="C43" s="2"/>
      <c r="D43" s="2"/>
      <c r="E43" s="2"/>
      <c r="F43" s="37"/>
      <c r="G43" s="37"/>
      <c r="H43" s="41">
        <f t="shared" si="0"/>
        <v>0</v>
      </c>
      <c r="I43" s="2"/>
      <c r="J43" s="2"/>
      <c r="K43" s="2"/>
      <c r="L43" s="2"/>
      <c r="M43" s="2"/>
      <c r="N43" s="2"/>
    </row>
    <row r="44" spans="1:14" x14ac:dyDescent="0.25">
      <c r="A44" s="2"/>
      <c r="B44" s="2"/>
      <c r="C44" s="2"/>
      <c r="D44" s="2"/>
      <c r="E44" s="2"/>
      <c r="F44" s="37"/>
      <c r="G44" s="37"/>
      <c r="H44" s="41">
        <f t="shared" si="0"/>
        <v>0</v>
      </c>
      <c r="I44" s="2"/>
      <c r="J44" s="2"/>
      <c r="K44" s="2"/>
      <c r="L44" s="2"/>
      <c r="M44" s="2"/>
      <c r="N44" s="2"/>
    </row>
    <row r="45" spans="1:14" x14ac:dyDescent="0.25">
      <c r="A45" s="2"/>
      <c r="B45" s="2"/>
      <c r="C45" s="2"/>
      <c r="D45" s="2"/>
      <c r="E45" s="2"/>
      <c r="F45" s="37"/>
      <c r="G45" s="37"/>
      <c r="H45" s="41">
        <f t="shared" si="0"/>
        <v>0</v>
      </c>
      <c r="I45" s="2"/>
      <c r="J45" s="2"/>
      <c r="K45" s="2"/>
      <c r="L45" s="2"/>
      <c r="M45" s="2"/>
      <c r="N45" s="2"/>
    </row>
    <row r="46" spans="1:14" x14ac:dyDescent="0.25">
      <c r="A46" s="2"/>
      <c r="B46" s="2"/>
      <c r="C46" s="2"/>
      <c r="D46" s="2"/>
      <c r="E46" s="2"/>
      <c r="F46" s="37"/>
      <c r="G46" s="37"/>
      <c r="H46" s="41">
        <f t="shared" si="0"/>
        <v>0</v>
      </c>
      <c r="I46" s="2"/>
      <c r="J46" s="2"/>
      <c r="K46" s="2"/>
      <c r="L46" s="2"/>
      <c r="M46" s="2"/>
      <c r="N46" s="2"/>
    </row>
    <row r="47" spans="1:14" x14ac:dyDescent="0.25">
      <c r="A47" s="2"/>
      <c r="B47" s="2"/>
      <c r="C47" s="2"/>
      <c r="D47" s="2"/>
      <c r="E47" s="2"/>
      <c r="F47" s="37"/>
      <c r="G47" s="37"/>
      <c r="H47" s="41">
        <f t="shared" si="0"/>
        <v>0</v>
      </c>
      <c r="I47" s="2"/>
      <c r="J47" s="2"/>
      <c r="K47" s="2"/>
      <c r="L47" s="2"/>
      <c r="M47" s="2"/>
      <c r="N47" s="2"/>
    </row>
    <row r="48" spans="1:14" x14ac:dyDescent="0.25">
      <c r="A48" s="2"/>
      <c r="B48" s="2"/>
      <c r="C48" s="2"/>
      <c r="D48" s="2"/>
      <c r="E48" s="2"/>
      <c r="F48" s="37"/>
      <c r="G48" s="37"/>
      <c r="H48" s="41">
        <f t="shared" si="0"/>
        <v>0</v>
      </c>
      <c r="I48" s="2"/>
      <c r="J48" s="2"/>
      <c r="K48" s="2"/>
      <c r="L48" s="2"/>
      <c r="M48" s="2"/>
      <c r="N48" s="2"/>
    </row>
    <row r="49" spans="1:14" x14ac:dyDescent="0.25">
      <c r="A49" s="2"/>
      <c r="B49" s="2"/>
      <c r="C49" s="2"/>
      <c r="D49" s="2"/>
      <c r="E49" s="2"/>
      <c r="F49" s="37"/>
      <c r="G49" s="37"/>
      <c r="H49" s="41">
        <f t="shared" si="0"/>
        <v>0</v>
      </c>
      <c r="I49" s="2"/>
      <c r="J49" s="2"/>
      <c r="K49" s="2"/>
      <c r="L49" s="2"/>
      <c r="M49" s="2"/>
      <c r="N49" s="2"/>
    </row>
    <row r="50" spans="1:14" x14ac:dyDescent="0.25">
      <c r="A50" s="2"/>
      <c r="B50" s="2"/>
      <c r="C50" s="2"/>
      <c r="D50" s="2"/>
      <c r="E50" s="2"/>
      <c r="F50" s="37"/>
      <c r="G50" s="37"/>
      <c r="H50" s="41">
        <f t="shared" si="0"/>
        <v>0</v>
      </c>
      <c r="I50" s="2"/>
      <c r="J50" s="2"/>
      <c r="K50" s="2"/>
      <c r="L50" s="2"/>
      <c r="M50" s="2"/>
      <c r="N50" s="2"/>
    </row>
    <row r="51" spans="1:14" x14ac:dyDescent="0.25">
      <c r="A51" s="2"/>
      <c r="B51" s="2"/>
      <c r="C51" s="2"/>
      <c r="D51" s="2"/>
      <c r="E51" s="2"/>
      <c r="F51" s="37"/>
      <c r="G51" s="37"/>
      <c r="H51" s="41">
        <f t="shared" si="0"/>
        <v>0</v>
      </c>
      <c r="I51" s="2"/>
      <c r="J51" s="2"/>
      <c r="K51" s="2"/>
      <c r="L51" s="2"/>
      <c r="M51" s="2"/>
      <c r="N51" s="2"/>
    </row>
    <row r="52" spans="1:14" x14ac:dyDescent="0.25">
      <c r="A52" s="2"/>
      <c r="B52" s="2"/>
      <c r="C52" s="2"/>
      <c r="D52" s="2"/>
      <c r="E52" s="2"/>
      <c r="F52" s="37"/>
      <c r="G52" s="37"/>
      <c r="H52" s="41">
        <f t="shared" si="0"/>
        <v>0</v>
      </c>
      <c r="I52" s="2"/>
      <c r="J52" s="2"/>
      <c r="K52" s="2"/>
      <c r="L52" s="2"/>
      <c r="M52" s="2"/>
      <c r="N52" s="2"/>
    </row>
    <row r="53" spans="1:14" x14ac:dyDescent="0.25">
      <c r="A53" s="2"/>
      <c r="B53" s="2"/>
      <c r="C53" s="2"/>
      <c r="D53" s="2"/>
      <c r="E53" s="2"/>
      <c r="F53" s="37"/>
      <c r="G53" s="37"/>
      <c r="H53" s="41">
        <f t="shared" si="0"/>
        <v>0</v>
      </c>
      <c r="I53" s="2"/>
      <c r="J53" s="2"/>
      <c r="K53" s="2"/>
      <c r="L53" s="2"/>
      <c r="M53" s="2"/>
      <c r="N53" s="2"/>
    </row>
    <row r="54" spans="1:14" x14ac:dyDescent="0.25">
      <c r="A54" s="2"/>
      <c r="B54" s="2"/>
      <c r="C54" s="2"/>
      <c r="D54" s="2"/>
      <c r="E54" s="2"/>
      <c r="F54" s="37"/>
      <c r="G54" s="37"/>
      <c r="H54" s="41">
        <f t="shared" si="0"/>
        <v>0</v>
      </c>
      <c r="I54" s="2"/>
      <c r="J54" s="2"/>
      <c r="K54" s="2"/>
      <c r="L54" s="2"/>
      <c r="M54" s="2"/>
      <c r="N54" s="2"/>
    </row>
    <row r="55" spans="1:14" x14ac:dyDescent="0.25">
      <c r="A55" s="2"/>
      <c r="B55" s="2"/>
      <c r="C55" s="2"/>
      <c r="D55" s="2"/>
      <c r="E55" s="2"/>
      <c r="F55" s="37"/>
      <c r="G55" s="37"/>
      <c r="H55" s="41">
        <f t="shared" si="0"/>
        <v>0</v>
      </c>
      <c r="I55" s="2"/>
      <c r="J55" s="2"/>
      <c r="K55" s="2"/>
      <c r="L55" s="2"/>
      <c r="M55" s="2"/>
      <c r="N55" s="2"/>
    </row>
    <row r="56" spans="1:14" x14ac:dyDescent="0.25">
      <c r="A56" s="2"/>
      <c r="B56" s="2"/>
      <c r="C56" s="2"/>
      <c r="D56" s="2"/>
      <c r="E56" s="2"/>
      <c r="F56" s="37"/>
      <c r="G56" s="37"/>
      <c r="H56" s="41">
        <f t="shared" si="0"/>
        <v>0</v>
      </c>
      <c r="I56" s="2"/>
      <c r="J56" s="2"/>
      <c r="K56" s="2"/>
      <c r="L56" s="2"/>
      <c r="M56" s="2"/>
      <c r="N56" s="2"/>
    </row>
    <row r="57" spans="1:14" x14ac:dyDescent="0.25">
      <c r="A57" s="2"/>
      <c r="B57" s="2"/>
      <c r="C57" s="2"/>
      <c r="D57" s="2"/>
      <c r="E57" s="2"/>
      <c r="F57" s="37"/>
      <c r="G57" s="37"/>
      <c r="H57" s="41">
        <f t="shared" si="0"/>
        <v>0</v>
      </c>
      <c r="I57" s="2"/>
      <c r="J57" s="2"/>
      <c r="K57" s="2"/>
      <c r="L57" s="2"/>
      <c r="M57" s="2"/>
      <c r="N57" s="2"/>
    </row>
    <row r="58" spans="1:14" x14ac:dyDescent="0.25">
      <c r="A58" s="2"/>
      <c r="B58" s="2"/>
      <c r="C58" s="2"/>
      <c r="D58" s="2"/>
      <c r="E58" s="2"/>
      <c r="F58" s="37"/>
      <c r="G58" s="37"/>
      <c r="H58" s="41">
        <f t="shared" si="0"/>
        <v>0</v>
      </c>
      <c r="I58" s="2"/>
      <c r="J58" s="2"/>
      <c r="K58" s="2"/>
      <c r="L58" s="2"/>
      <c r="M58" s="2"/>
      <c r="N58" s="2"/>
    </row>
    <row r="59" spans="1:14" x14ac:dyDescent="0.25">
      <c r="A59" s="2"/>
      <c r="B59" s="2"/>
      <c r="C59" s="2"/>
      <c r="D59" s="2"/>
      <c r="E59" s="2"/>
      <c r="F59" s="37"/>
      <c r="G59" s="37"/>
      <c r="H59" s="41">
        <f t="shared" si="0"/>
        <v>0</v>
      </c>
      <c r="I59" s="2"/>
      <c r="J59" s="2"/>
      <c r="K59" s="2"/>
      <c r="L59" s="2"/>
      <c r="M59" s="2"/>
      <c r="N59" s="2"/>
    </row>
    <row r="60" spans="1:14" x14ac:dyDescent="0.25">
      <c r="A60" s="2"/>
      <c r="B60" s="2"/>
      <c r="C60" s="2"/>
      <c r="D60" s="2"/>
      <c r="E60" s="2"/>
      <c r="F60" s="37"/>
      <c r="G60" s="37"/>
      <c r="H60" s="41">
        <f t="shared" si="0"/>
        <v>0</v>
      </c>
      <c r="I60" s="2"/>
      <c r="J60" s="2"/>
      <c r="K60" s="2"/>
      <c r="L60" s="2"/>
      <c r="M60" s="2"/>
      <c r="N60" s="2"/>
    </row>
    <row r="61" spans="1:14" x14ac:dyDescent="0.25">
      <c r="A61" s="2"/>
      <c r="B61" s="2"/>
      <c r="C61" s="2"/>
      <c r="D61" s="2"/>
      <c r="E61" s="2"/>
      <c r="F61" s="37"/>
      <c r="G61" s="37"/>
      <c r="H61" s="41">
        <f t="shared" si="0"/>
        <v>0</v>
      </c>
      <c r="I61" s="2"/>
      <c r="J61" s="2"/>
      <c r="K61" s="2"/>
      <c r="L61" s="2"/>
      <c r="M61" s="2"/>
      <c r="N61" s="2"/>
    </row>
    <row r="62" spans="1:14" x14ac:dyDescent="0.25">
      <c r="A62" s="2"/>
      <c r="B62" s="2"/>
      <c r="C62" s="2"/>
      <c r="D62" s="2"/>
      <c r="E62" s="2"/>
      <c r="F62" s="37"/>
      <c r="G62" s="37"/>
      <c r="H62" s="41">
        <f t="shared" si="0"/>
        <v>0</v>
      </c>
      <c r="I62" s="2"/>
      <c r="J62" s="2"/>
      <c r="K62" s="2"/>
      <c r="L62" s="2"/>
      <c r="M62" s="2"/>
      <c r="N62" s="2"/>
    </row>
    <row r="63" spans="1:14" x14ac:dyDescent="0.25">
      <c r="A63" s="2"/>
      <c r="B63" s="2"/>
      <c r="C63" s="2"/>
      <c r="D63" s="2"/>
      <c r="E63" s="2"/>
      <c r="F63" s="37"/>
      <c r="G63" s="37"/>
      <c r="H63" s="41">
        <f t="shared" si="0"/>
        <v>0</v>
      </c>
      <c r="I63" s="2"/>
      <c r="J63" s="2"/>
      <c r="K63" s="2"/>
      <c r="L63" s="2"/>
      <c r="M63" s="2"/>
      <c r="N63" s="2"/>
    </row>
    <row r="64" spans="1:14" x14ac:dyDescent="0.25">
      <c r="A64" s="2"/>
      <c r="B64" s="2"/>
      <c r="C64" s="2"/>
      <c r="D64" s="2"/>
      <c r="E64" s="2"/>
      <c r="F64" s="37"/>
      <c r="G64" s="37"/>
      <c r="H64" s="41">
        <f t="shared" si="0"/>
        <v>0</v>
      </c>
      <c r="I64" s="2"/>
      <c r="J64" s="2"/>
      <c r="K64" s="2"/>
      <c r="L64" s="2"/>
      <c r="M64" s="2"/>
      <c r="N64" s="2"/>
    </row>
    <row r="65" spans="1:14" x14ac:dyDescent="0.25">
      <c r="A65" s="2"/>
      <c r="B65" s="2"/>
      <c r="C65" s="2"/>
      <c r="D65" s="2"/>
      <c r="E65" s="2"/>
      <c r="F65" s="37"/>
      <c r="G65" s="37"/>
      <c r="H65" s="41">
        <f t="shared" si="0"/>
        <v>0</v>
      </c>
      <c r="I65" s="2"/>
      <c r="J65" s="2"/>
      <c r="K65" s="2"/>
      <c r="L65" s="2"/>
      <c r="M65" s="2"/>
      <c r="N65" s="2"/>
    </row>
    <row r="66" spans="1:14" x14ac:dyDescent="0.25">
      <c r="A66" s="2"/>
      <c r="B66" s="2"/>
      <c r="C66" s="2"/>
      <c r="D66" s="2"/>
      <c r="E66" s="2"/>
      <c r="F66" s="37"/>
      <c r="G66" s="37"/>
      <c r="H66" s="41">
        <f t="shared" si="0"/>
        <v>0</v>
      </c>
      <c r="I66" s="2"/>
      <c r="J66" s="2"/>
      <c r="K66" s="2"/>
      <c r="L66" s="2"/>
      <c r="M66" s="2"/>
      <c r="N66" s="2"/>
    </row>
    <row r="67" spans="1:14" x14ac:dyDescent="0.25">
      <c r="A67" s="2"/>
      <c r="B67" s="2"/>
      <c r="C67" s="2"/>
      <c r="D67" s="2"/>
      <c r="E67" s="2"/>
      <c r="F67" s="37"/>
      <c r="G67" s="37"/>
      <c r="H67" s="41">
        <f t="shared" si="0"/>
        <v>0</v>
      </c>
      <c r="I67" s="2"/>
      <c r="J67" s="2"/>
      <c r="K67" s="2"/>
      <c r="L67" s="2"/>
      <c r="M67" s="2"/>
      <c r="N67" s="2"/>
    </row>
    <row r="68" spans="1:14" x14ac:dyDescent="0.25">
      <c r="A68" s="2"/>
      <c r="B68" s="2"/>
      <c r="C68" s="2"/>
      <c r="D68" s="2"/>
      <c r="E68" s="2"/>
      <c r="F68" s="37"/>
      <c r="G68" s="37"/>
      <c r="H68" s="41">
        <f t="shared" si="0"/>
        <v>0</v>
      </c>
      <c r="I68" s="2"/>
      <c r="J68" s="2"/>
      <c r="K68" s="2"/>
      <c r="L68" s="2"/>
      <c r="M68" s="2"/>
      <c r="N68" s="2"/>
    </row>
    <row r="69" spans="1:14" x14ac:dyDescent="0.25">
      <c r="A69" s="2"/>
      <c r="B69" s="2"/>
      <c r="C69" s="2"/>
      <c r="D69" s="2"/>
      <c r="E69" s="2"/>
      <c r="F69" s="37"/>
      <c r="G69" s="37"/>
      <c r="H69" s="41">
        <f t="shared" si="0"/>
        <v>0</v>
      </c>
      <c r="I69" s="2"/>
      <c r="J69" s="2"/>
      <c r="K69" s="2"/>
      <c r="L69" s="2"/>
      <c r="M69" s="2"/>
      <c r="N69" s="2"/>
    </row>
    <row r="70" spans="1:14" x14ac:dyDescent="0.25">
      <c r="A70" s="2"/>
      <c r="B70" s="2"/>
      <c r="C70" s="2"/>
      <c r="D70" s="2"/>
      <c r="E70" s="2"/>
      <c r="F70" s="37"/>
      <c r="G70" s="37"/>
      <c r="H70" s="41">
        <f t="shared" si="0"/>
        <v>0</v>
      </c>
      <c r="I70" s="2"/>
      <c r="J70" s="2"/>
      <c r="K70" s="2"/>
      <c r="L70" s="2"/>
      <c r="M70" s="2"/>
      <c r="N70" s="2"/>
    </row>
    <row r="71" spans="1:14" x14ac:dyDescent="0.25">
      <c r="A71" s="2"/>
      <c r="B71" s="2"/>
      <c r="C71" s="2"/>
      <c r="D71" s="2"/>
      <c r="E71" s="2"/>
      <c r="F71" s="37"/>
      <c r="G71" s="37"/>
      <c r="H71" s="41">
        <f t="shared" si="0"/>
        <v>0</v>
      </c>
      <c r="I71" s="2"/>
      <c r="J71" s="2"/>
      <c r="K71" s="2"/>
      <c r="L71" s="2"/>
      <c r="M71" s="2"/>
      <c r="N71" s="2"/>
    </row>
    <row r="72" spans="1:14" x14ac:dyDescent="0.25">
      <c r="A72" s="2"/>
      <c r="B72" s="2"/>
      <c r="C72" s="2"/>
      <c r="D72" s="2"/>
      <c r="E72" s="2"/>
      <c r="F72" s="37"/>
      <c r="G72" s="37"/>
      <c r="H72" s="41">
        <f t="shared" si="0"/>
        <v>0</v>
      </c>
      <c r="I72" s="2"/>
      <c r="J72" s="2"/>
      <c r="K72" s="2"/>
      <c r="L72" s="2"/>
      <c r="M72" s="2"/>
      <c r="N72" s="2"/>
    </row>
    <row r="73" spans="1:14" x14ac:dyDescent="0.25">
      <c r="A73" s="2"/>
      <c r="B73" s="2"/>
      <c r="C73" s="2"/>
      <c r="D73" s="2"/>
      <c r="E73" s="2"/>
      <c r="F73" s="37"/>
      <c r="G73" s="37"/>
      <c r="H73" s="41">
        <f t="shared" si="0"/>
        <v>0</v>
      </c>
      <c r="I73" s="2"/>
      <c r="J73" s="2"/>
      <c r="K73" s="2"/>
      <c r="L73" s="2"/>
      <c r="M73" s="2"/>
      <c r="N73" s="2"/>
    </row>
    <row r="74" spans="1:14" x14ac:dyDescent="0.25">
      <c r="A74" s="2"/>
      <c r="B74" s="2"/>
      <c r="C74" s="2"/>
      <c r="D74" s="2"/>
      <c r="E74" s="2"/>
      <c r="F74" s="37"/>
      <c r="G74" s="37"/>
      <c r="H74" s="41">
        <f t="shared" si="0"/>
        <v>0</v>
      </c>
      <c r="I74" s="2"/>
      <c r="J74" s="2"/>
      <c r="K74" s="2"/>
      <c r="L74" s="2"/>
      <c r="M74" s="2"/>
      <c r="N74" s="2"/>
    </row>
    <row r="75" spans="1:14" x14ac:dyDescent="0.25">
      <c r="A75" s="2"/>
      <c r="B75" s="2"/>
      <c r="C75" s="2"/>
      <c r="D75" s="2"/>
      <c r="E75" s="2"/>
      <c r="F75" s="37"/>
      <c r="G75" s="37"/>
      <c r="H75" s="41">
        <f t="shared" si="0"/>
        <v>0</v>
      </c>
      <c r="I75" s="2"/>
      <c r="J75" s="2"/>
      <c r="K75" s="2"/>
      <c r="L75" s="2"/>
      <c r="M75" s="2"/>
      <c r="N75" s="2"/>
    </row>
    <row r="76" spans="1:14" x14ac:dyDescent="0.25">
      <c r="A76" s="2"/>
      <c r="B76" s="2"/>
      <c r="C76" s="2"/>
      <c r="D76" s="2"/>
      <c r="E76" s="2"/>
      <c r="F76" s="37"/>
      <c r="G76" s="37"/>
      <c r="H76" s="41">
        <f t="shared" si="0"/>
        <v>0</v>
      </c>
      <c r="I76" s="2"/>
      <c r="J76" s="2"/>
      <c r="K76" s="2"/>
      <c r="L76" s="2"/>
      <c r="M76" s="2"/>
      <c r="N76" s="2"/>
    </row>
    <row r="77" spans="1:14" x14ac:dyDescent="0.25">
      <c r="A77" s="2"/>
      <c r="B77" s="2"/>
      <c r="C77" s="2"/>
      <c r="D77" s="2"/>
      <c r="E77" s="2"/>
      <c r="F77" s="37"/>
      <c r="G77" s="37"/>
      <c r="H77" s="41">
        <f t="shared" si="0"/>
        <v>0</v>
      </c>
      <c r="I77" s="2"/>
      <c r="J77" s="2"/>
      <c r="K77" s="2"/>
      <c r="L77" s="2"/>
      <c r="M77" s="2"/>
      <c r="N77" s="2"/>
    </row>
    <row r="78" spans="1:14" x14ac:dyDescent="0.25">
      <c r="A78" s="2"/>
      <c r="B78" s="2"/>
      <c r="C78" s="2"/>
      <c r="D78" s="2"/>
      <c r="E78" s="2"/>
      <c r="F78" s="37"/>
      <c r="G78" s="37"/>
      <c r="H78" s="41">
        <f t="shared" ref="H78:H141" si="1">NETWORKDAYS(F78,G78)</f>
        <v>0</v>
      </c>
      <c r="I78" s="2"/>
      <c r="J78" s="2"/>
      <c r="K78" s="2"/>
      <c r="L78" s="2"/>
      <c r="M78" s="2"/>
      <c r="N78" s="2"/>
    </row>
    <row r="79" spans="1:14" x14ac:dyDescent="0.25">
      <c r="A79" s="2"/>
      <c r="B79" s="2"/>
      <c r="C79" s="2"/>
      <c r="D79" s="2"/>
      <c r="E79" s="2"/>
      <c r="F79" s="37"/>
      <c r="G79" s="37"/>
      <c r="H79" s="41">
        <f t="shared" si="1"/>
        <v>0</v>
      </c>
      <c r="I79" s="2"/>
      <c r="J79" s="2"/>
      <c r="K79" s="2"/>
      <c r="L79" s="2"/>
      <c r="M79" s="2"/>
      <c r="N79" s="2"/>
    </row>
    <row r="80" spans="1:14" x14ac:dyDescent="0.25">
      <c r="A80" s="2"/>
      <c r="B80" s="2"/>
      <c r="C80" s="2"/>
      <c r="D80" s="2"/>
      <c r="E80" s="2"/>
      <c r="F80" s="37"/>
      <c r="G80" s="37"/>
      <c r="H80" s="41">
        <f t="shared" si="1"/>
        <v>0</v>
      </c>
      <c r="I80" s="2"/>
      <c r="J80" s="2"/>
      <c r="K80" s="2"/>
      <c r="L80" s="2"/>
      <c r="M80" s="2"/>
      <c r="N80" s="2"/>
    </row>
    <row r="81" spans="1:14" x14ac:dyDescent="0.25">
      <c r="A81" s="2"/>
      <c r="B81" s="2"/>
      <c r="C81" s="2"/>
      <c r="D81" s="2"/>
      <c r="E81" s="2"/>
      <c r="F81" s="37"/>
      <c r="G81" s="37"/>
      <c r="H81" s="41">
        <f t="shared" si="1"/>
        <v>0</v>
      </c>
      <c r="I81" s="2"/>
      <c r="J81" s="2"/>
      <c r="K81" s="2"/>
      <c r="L81" s="2"/>
      <c r="M81" s="2"/>
      <c r="N81" s="2"/>
    </row>
    <row r="82" spans="1:14" x14ac:dyDescent="0.25">
      <c r="A82" s="2"/>
      <c r="B82" s="2"/>
      <c r="C82" s="2"/>
      <c r="D82" s="2"/>
      <c r="E82" s="2"/>
      <c r="F82" s="37"/>
      <c r="G82" s="37"/>
      <c r="H82" s="41">
        <f t="shared" si="1"/>
        <v>0</v>
      </c>
      <c r="I82" s="2"/>
      <c r="J82" s="2"/>
      <c r="K82" s="2"/>
      <c r="L82" s="2"/>
      <c r="M82" s="2"/>
      <c r="N82" s="2"/>
    </row>
    <row r="83" spans="1:14" x14ac:dyDescent="0.25">
      <c r="A83" s="2"/>
      <c r="B83" s="2"/>
      <c r="C83" s="2"/>
      <c r="D83" s="2"/>
      <c r="E83" s="2"/>
      <c r="F83" s="37"/>
      <c r="G83" s="37"/>
      <c r="H83" s="41">
        <f t="shared" si="1"/>
        <v>0</v>
      </c>
      <c r="I83" s="2"/>
      <c r="J83" s="2"/>
      <c r="K83" s="2"/>
      <c r="L83" s="2"/>
      <c r="M83" s="2"/>
      <c r="N83" s="2"/>
    </row>
    <row r="84" spans="1:14" x14ac:dyDescent="0.25">
      <c r="A84" s="2"/>
      <c r="B84" s="2"/>
      <c r="C84" s="2"/>
      <c r="D84" s="2"/>
      <c r="E84" s="2"/>
      <c r="F84" s="37"/>
      <c r="G84" s="37"/>
      <c r="H84" s="41">
        <f t="shared" si="1"/>
        <v>0</v>
      </c>
      <c r="I84" s="2"/>
      <c r="J84" s="2"/>
      <c r="K84" s="2"/>
      <c r="L84" s="2"/>
      <c r="M84" s="2"/>
      <c r="N84" s="2"/>
    </row>
    <row r="85" spans="1:14" x14ac:dyDescent="0.25">
      <c r="A85" s="2"/>
      <c r="B85" s="2"/>
      <c r="C85" s="2"/>
      <c r="D85" s="2"/>
      <c r="E85" s="2"/>
      <c r="F85" s="37"/>
      <c r="G85" s="37"/>
      <c r="H85" s="41">
        <f t="shared" si="1"/>
        <v>0</v>
      </c>
      <c r="I85" s="2"/>
      <c r="J85" s="2"/>
      <c r="K85" s="2"/>
      <c r="L85" s="2"/>
      <c r="M85" s="2"/>
      <c r="N85" s="2"/>
    </row>
    <row r="86" spans="1:14" x14ac:dyDescent="0.25">
      <c r="A86" s="2"/>
      <c r="B86" s="2"/>
      <c r="C86" s="2"/>
      <c r="D86" s="2"/>
      <c r="E86" s="2"/>
      <c r="F86" s="37"/>
      <c r="G86" s="37"/>
      <c r="H86" s="41">
        <f t="shared" si="1"/>
        <v>0</v>
      </c>
      <c r="I86" s="2"/>
      <c r="J86" s="2"/>
      <c r="K86" s="2"/>
      <c r="L86" s="2"/>
      <c r="M86" s="2"/>
      <c r="N86" s="2"/>
    </row>
    <row r="87" spans="1:14" x14ac:dyDescent="0.25">
      <c r="A87" s="2"/>
      <c r="B87" s="2"/>
      <c r="C87" s="2"/>
      <c r="D87" s="2"/>
      <c r="E87" s="2"/>
      <c r="F87" s="37"/>
      <c r="G87" s="37"/>
      <c r="H87" s="41">
        <f t="shared" si="1"/>
        <v>0</v>
      </c>
      <c r="I87" s="2"/>
      <c r="J87" s="2"/>
      <c r="K87" s="2"/>
      <c r="L87" s="2"/>
      <c r="M87" s="2"/>
      <c r="N87" s="2"/>
    </row>
    <row r="88" spans="1:14" x14ac:dyDescent="0.25">
      <c r="A88" s="2"/>
      <c r="B88" s="2"/>
      <c r="C88" s="2"/>
      <c r="D88" s="2"/>
      <c r="E88" s="2"/>
      <c r="F88" s="37"/>
      <c r="G88" s="37"/>
      <c r="H88" s="41">
        <f t="shared" si="1"/>
        <v>0</v>
      </c>
      <c r="I88" s="2"/>
      <c r="J88" s="2"/>
      <c r="K88" s="2"/>
      <c r="L88" s="2"/>
      <c r="M88" s="2"/>
      <c r="N88" s="2"/>
    </row>
    <row r="89" spans="1:14" x14ac:dyDescent="0.25">
      <c r="A89" s="2"/>
      <c r="B89" s="2"/>
      <c r="C89" s="2"/>
      <c r="D89" s="2"/>
      <c r="E89" s="2"/>
      <c r="F89" s="37"/>
      <c r="G89" s="37"/>
      <c r="H89" s="41">
        <f t="shared" si="1"/>
        <v>0</v>
      </c>
      <c r="I89" s="2"/>
      <c r="J89" s="2"/>
      <c r="K89" s="2"/>
      <c r="L89" s="2"/>
      <c r="M89" s="2"/>
      <c r="N89" s="2"/>
    </row>
    <row r="90" spans="1:14" x14ac:dyDescent="0.25">
      <c r="A90" s="2"/>
      <c r="B90" s="2"/>
      <c r="C90" s="2"/>
      <c r="D90" s="2"/>
      <c r="E90" s="2"/>
      <c r="F90" s="37"/>
      <c r="G90" s="37"/>
      <c r="H90" s="41">
        <f t="shared" si="1"/>
        <v>0</v>
      </c>
      <c r="I90" s="2"/>
      <c r="J90" s="2"/>
      <c r="K90" s="2"/>
      <c r="L90" s="2"/>
      <c r="M90" s="2"/>
      <c r="N90" s="2"/>
    </row>
    <row r="91" spans="1:14" x14ac:dyDescent="0.25">
      <c r="A91" s="2"/>
      <c r="B91" s="2"/>
      <c r="C91" s="2"/>
      <c r="D91" s="2"/>
      <c r="E91" s="2"/>
      <c r="F91" s="37"/>
      <c r="G91" s="37"/>
      <c r="H91" s="41">
        <f t="shared" si="1"/>
        <v>0</v>
      </c>
      <c r="I91" s="2"/>
      <c r="J91" s="2"/>
      <c r="K91" s="2"/>
      <c r="L91" s="2"/>
      <c r="M91" s="2"/>
      <c r="N91" s="2"/>
    </row>
    <row r="92" spans="1:14" x14ac:dyDescent="0.25">
      <c r="A92" s="2"/>
      <c r="B92" s="2"/>
      <c r="C92" s="2"/>
      <c r="D92" s="2"/>
      <c r="E92" s="2"/>
      <c r="F92" s="37"/>
      <c r="G92" s="37"/>
      <c r="H92" s="41">
        <f t="shared" si="1"/>
        <v>0</v>
      </c>
      <c r="I92" s="2"/>
      <c r="J92" s="2"/>
      <c r="K92" s="2"/>
      <c r="L92" s="2"/>
      <c r="M92" s="2"/>
      <c r="N92" s="2"/>
    </row>
    <row r="93" spans="1:14" x14ac:dyDescent="0.25">
      <c r="A93" s="2"/>
      <c r="B93" s="2"/>
      <c r="C93" s="2"/>
      <c r="D93" s="2"/>
      <c r="E93" s="2"/>
      <c r="F93" s="37"/>
      <c r="G93" s="37"/>
      <c r="H93" s="41">
        <f t="shared" si="1"/>
        <v>0</v>
      </c>
      <c r="I93" s="2"/>
      <c r="J93" s="2"/>
      <c r="K93" s="2"/>
      <c r="L93" s="2"/>
      <c r="M93" s="2"/>
      <c r="N93" s="2"/>
    </row>
    <row r="94" spans="1:14" x14ac:dyDescent="0.25">
      <c r="A94" s="2"/>
      <c r="B94" s="2"/>
      <c r="C94" s="2"/>
      <c r="D94" s="2"/>
      <c r="E94" s="2"/>
      <c r="F94" s="37"/>
      <c r="G94" s="37"/>
      <c r="H94" s="41">
        <f t="shared" si="1"/>
        <v>0</v>
      </c>
      <c r="I94" s="2"/>
      <c r="J94" s="2"/>
      <c r="K94" s="2"/>
      <c r="L94" s="2"/>
      <c r="M94" s="2"/>
      <c r="N94" s="2"/>
    </row>
    <row r="95" spans="1:14" x14ac:dyDescent="0.25">
      <c r="A95" s="2"/>
      <c r="B95" s="2"/>
      <c r="C95" s="2"/>
      <c r="D95" s="2"/>
      <c r="E95" s="2"/>
      <c r="F95" s="37"/>
      <c r="G95" s="37"/>
      <c r="H95" s="41">
        <f t="shared" si="1"/>
        <v>0</v>
      </c>
      <c r="I95" s="2"/>
      <c r="J95" s="2"/>
      <c r="K95" s="2"/>
      <c r="L95" s="2"/>
      <c r="M95" s="2"/>
      <c r="N95" s="2"/>
    </row>
    <row r="96" spans="1:14" x14ac:dyDescent="0.25">
      <c r="A96" s="2"/>
      <c r="B96" s="2"/>
      <c r="C96" s="2"/>
      <c r="D96" s="2"/>
      <c r="E96" s="2"/>
      <c r="F96" s="37"/>
      <c r="G96" s="37"/>
      <c r="H96" s="41">
        <f t="shared" si="1"/>
        <v>0</v>
      </c>
      <c r="I96" s="2"/>
      <c r="J96" s="2"/>
      <c r="K96" s="2"/>
      <c r="L96" s="2"/>
      <c r="M96" s="2"/>
      <c r="N96" s="2"/>
    </row>
    <row r="97" spans="1:14" x14ac:dyDescent="0.25">
      <c r="A97" s="2"/>
      <c r="B97" s="2"/>
      <c r="C97" s="2"/>
      <c r="D97" s="2"/>
      <c r="E97" s="2"/>
      <c r="F97" s="37"/>
      <c r="G97" s="37"/>
      <c r="H97" s="41">
        <f t="shared" si="1"/>
        <v>0</v>
      </c>
      <c r="I97" s="2"/>
      <c r="J97" s="2"/>
      <c r="K97" s="2"/>
      <c r="L97" s="2"/>
      <c r="M97" s="2"/>
      <c r="N97" s="2"/>
    </row>
    <row r="98" spans="1:14" x14ac:dyDescent="0.25">
      <c r="A98" s="2"/>
      <c r="B98" s="2"/>
      <c r="C98" s="2"/>
      <c r="D98" s="2"/>
      <c r="E98" s="2"/>
      <c r="F98" s="37"/>
      <c r="G98" s="37"/>
      <c r="H98" s="41">
        <f t="shared" si="1"/>
        <v>0</v>
      </c>
      <c r="I98" s="2"/>
      <c r="J98" s="2"/>
      <c r="K98" s="2"/>
      <c r="L98" s="2"/>
      <c r="M98" s="2"/>
      <c r="N98" s="2"/>
    </row>
    <row r="99" spans="1:14" x14ac:dyDescent="0.25">
      <c r="A99" s="2"/>
      <c r="B99" s="2"/>
      <c r="C99" s="2"/>
      <c r="D99" s="2"/>
      <c r="E99" s="2"/>
      <c r="F99" s="37"/>
      <c r="G99" s="37"/>
      <c r="H99" s="41">
        <f t="shared" si="1"/>
        <v>0</v>
      </c>
      <c r="I99" s="2"/>
      <c r="J99" s="2"/>
      <c r="K99" s="2"/>
      <c r="L99" s="2"/>
      <c r="M99" s="2"/>
      <c r="N99" s="2"/>
    </row>
    <row r="100" spans="1:14" x14ac:dyDescent="0.25">
      <c r="A100" s="2"/>
      <c r="B100" s="2"/>
      <c r="C100" s="2"/>
      <c r="D100" s="2"/>
      <c r="E100" s="2"/>
      <c r="F100" s="37"/>
      <c r="G100" s="37"/>
      <c r="H100" s="41">
        <f t="shared" si="1"/>
        <v>0</v>
      </c>
      <c r="I100" s="2"/>
      <c r="J100" s="2"/>
      <c r="K100" s="2"/>
      <c r="L100" s="2"/>
      <c r="M100" s="2"/>
      <c r="N100" s="2"/>
    </row>
    <row r="101" spans="1:14" x14ac:dyDescent="0.25">
      <c r="A101" s="2"/>
      <c r="B101" s="2"/>
      <c r="C101" s="2"/>
      <c r="D101" s="2"/>
      <c r="E101" s="2"/>
      <c r="F101" s="37"/>
      <c r="G101" s="37"/>
      <c r="H101" s="41">
        <f t="shared" si="1"/>
        <v>0</v>
      </c>
      <c r="I101" s="2"/>
      <c r="J101" s="2"/>
      <c r="K101" s="2"/>
      <c r="L101" s="2"/>
      <c r="M101" s="2"/>
      <c r="N101" s="2"/>
    </row>
    <row r="102" spans="1:14" x14ac:dyDescent="0.25">
      <c r="A102" s="2"/>
      <c r="B102" s="2"/>
      <c r="C102" s="2"/>
      <c r="D102" s="2"/>
      <c r="E102" s="2"/>
      <c r="F102" s="37"/>
      <c r="G102" s="37"/>
      <c r="H102" s="41">
        <f t="shared" si="1"/>
        <v>0</v>
      </c>
      <c r="I102" s="2"/>
      <c r="J102" s="2"/>
      <c r="K102" s="2"/>
      <c r="L102" s="2"/>
      <c r="M102" s="2"/>
      <c r="N102" s="2"/>
    </row>
    <row r="103" spans="1:14" x14ac:dyDescent="0.25">
      <c r="A103" s="2"/>
      <c r="B103" s="2"/>
      <c r="C103" s="2"/>
      <c r="D103" s="2"/>
      <c r="E103" s="2"/>
      <c r="F103" s="37"/>
      <c r="G103" s="37"/>
      <c r="H103" s="41">
        <f t="shared" si="1"/>
        <v>0</v>
      </c>
      <c r="I103" s="2"/>
      <c r="J103" s="2"/>
      <c r="K103" s="2"/>
      <c r="L103" s="2"/>
      <c r="M103" s="2"/>
      <c r="N103" s="2"/>
    </row>
    <row r="104" spans="1:14" x14ac:dyDescent="0.25">
      <c r="A104" s="2"/>
      <c r="B104" s="2"/>
      <c r="C104" s="2"/>
      <c r="D104" s="2"/>
      <c r="E104" s="2"/>
      <c r="F104" s="37"/>
      <c r="G104" s="37"/>
      <c r="H104" s="41">
        <f t="shared" si="1"/>
        <v>0</v>
      </c>
      <c r="I104" s="2"/>
      <c r="J104" s="2"/>
      <c r="K104" s="2"/>
      <c r="L104" s="2"/>
      <c r="M104" s="2"/>
      <c r="N104" s="2"/>
    </row>
    <row r="105" spans="1:14" x14ac:dyDescent="0.25">
      <c r="A105" s="2"/>
      <c r="B105" s="2"/>
      <c r="C105" s="2"/>
      <c r="D105" s="2"/>
      <c r="E105" s="2"/>
      <c r="F105" s="37"/>
      <c r="G105" s="37"/>
      <c r="H105" s="41">
        <f t="shared" si="1"/>
        <v>0</v>
      </c>
      <c r="I105" s="2"/>
      <c r="J105" s="2"/>
      <c r="K105" s="2"/>
      <c r="L105" s="2"/>
      <c r="M105" s="2"/>
      <c r="N105" s="2"/>
    </row>
    <row r="106" spans="1:14" x14ac:dyDescent="0.25">
      <c r="A106" s="2"/>
      <c r="B106" s="2"/>
      <c r="C106" s="2"/>
      <c r="D106" s="2"/>
      <c r="E106" s="2"/>
      <c r="F106" s="37"/>
      <c r="G106" s="37"/>
      <c r="H106" s="41">
        <f t="shared" si="1"/>
        <v>0</v>
      </c>
      <c r="I106" s="2"/>
      <c r="J106" s="2"/>
      <c r="K106" s="2"/>
      <c r="L106" s="2"/>
      <c r="M106" s="2"/>
      <c r="N106" s="2"/>
    </row>
    <row r="107" spans="1:14" x14ac:dyDescent="0.25">
      <c r="A107" s="2"/>
      <c r="B107" s="2"/>
      <c r="C107" s="2"/>
      <c r="D107" s="2"/>
      <c r="E107" s="2"/>
      <c r="F107" s="37"/>
      <c r="G107" s="37"/>
      <c r="H107" s="41">
        <f t="shared" si="1"/>
        <v>0</v>
      </c>
      <c r="I107" s="2"/>
      <c r="J107" s="2"/>
      <c r="K107" s="2"/>
      <c r="L107" s="2"/>
      <c r="M107" s="2"/>
      <c r="N107" s="2"/>
    </row>
    <row r="108" spans="1:14" x14ac:dyDescent="0.25">
      <c r="A108" s="2"/>
      <c r="B108" s="2"/>
      <c r="C108" s="2"/>
      <c r="D108" s="2"/>
      <c r="E108" s="2"/>
      <c r="F108" s="37"/>
      <c r="G108" s="37"/>
      <c r="H108" s="41">
        <f t="shared" si="1"/>
        <v>0</v>
      </c>
      <c r="I108" s="2"/>
      <c r="J108" s="2"/>
      <c r="K108" s="2"/>
      <c r="L108" s="2"/>
      <c r="M108" s="2"/>
      <c r="N108" s="2"/>
    </row>
    <row r="109" spans="1:14" x14ac:dyDescent="0.25">
      <c r="A109" s="2"/>
      <c r="B109" s="2"/>
      <c r="C109" s="2"/>
      <c r="D109" s="2"/>
      <c r="E109" s="2"/>
      <c r="F109" s="37"/>
      <c r="G109" s="37"/>
      <c r="H109" s="41">
        <f t="shared" si="1"/>
        <v>0</v>
      </c>
      <c r="I109" s="2"/>
      <c r="J109" s="2"/>
      <c r="K109" s="2"/>
      <c r="L109" s="2"/>
      <c r="M109" s="2"/>
      <c r="N109" s="2"/>
    </row>
    <row r="110" spans="1:14" x14ac:dyDescent="0.25">
      <c r="A110" s="2"/>
      <c r="B110" s="2"/>
      <c r="C110" s="2"/>
      <c r="D110" s="2"/>
      <c r="E110" s="2"/>
      <c r="F110" s="37"/>
      <c r="G110" s="37"/>
      <c r="H110" s="41">
        <f t="shared" si="1"/>
        <v>0</v>
      </c>
      <c r="I110" s="2"/>
      <c r="J110" s="2"/>
      <c r="K110" s="2"/>
      <c r="L110" s="2"/>
      <c r="M110" s="2"/>
      <c r="N110" s="2"/>
    </row>
    <row r="111" spans="1:14" x14ac:dyDescent="0.25">
      <c r="A111" s="2"/>
      <c r="B111" s="2"/>
      <c r="C111" s="2"/>
      <c r="D111" s="2"/>
      <c r="E111" s="2"/>
      <c r="F111" s="37"/>
      <c r="G111" s="37"/>
      <c r="H111" s="41">
        <f t="shared" si="1"/>
        <v>0</v>
      </c>
      <c r="I111" s="2"/>
      <c r="J111" s="2"/>
      <c r="K111" s="2"/>
      <c r="L111" s="2"/>
      <c r="M111" s="2"/>
      <c r="N111" s="2"/>
    </row>
    <row r="112" spans="1:14" x14ac:dyDescent="0.25">
      <c r="A112" s="2"/>
      <c r="B112" s="2"/>
      <c r="C112" s="2"/>
      <c r="D112" s="2"/>
      <c r="E112" s="2"/>
      <c r="F112" s="37"/>
      <c r="G112" s="37"/>
      <c r="H112" s="41">
        <f t="shared" si="1"/>
        <v>0</v>
      </c>
      <c r="I112" s="2"/>
      <c r="J112" s="2"/>
      <c r="K112" s="2"/>
      <c r="L112" s="2"/>
      <c r="M112" s="2"/>
      <c r="N112" s="2"/>
    </row>
    <row r="113" spans="1:14" x14ac:dyDescent="0.25">
      <c r="A113" s="2"/>
      <c r="B113" s="2"/>
      <c r="C113" s="2"/>
      <c r="D113" s="2"/>
      <c r="E113" s="2"/>
      <c r="F113" s="37"/>
      <c r="G113" s="37"/>
      <c r="H113" s="41">
        <f t="shared" si="1"/>
        <v>0</v>
      </c>
      <c r="I113" s="2"/>
      <c r="J113" s="2"/>
      <c r="K113" s="2"/>
      <c r="L113" s="2"/>
      <c r="M113" s="2"/>
      <c r="N113" s="2"/>
    </row>
    <row r="114" spans="1:14" x14ac:dyDescent="0.25">
      <c r="A114" s="2"/>
      <c r="B114" s="2"/>
      <c r="C114" s="2"/>
      <c r="D114" s="2"/>
      <c r="E114" s="2"/>
      <c r="F114" s="37"/>
      <c r="G114" s="37"/>
      <c r="H114" s="41">
        <f t="shared" si="1"/>
        <v>0</v>
      </c>
      <c r="I114" s="2"/>
      <c r="J114" s="2"/>
      <c r="K114" s="2"/>
      <c r="L114" s="2"/>
      <c r="M114" s="2"/>
      <c r="N114" s="2"/>
    </row>
    <row r="115" spans="1:14" x14ac:dyDescent="0.25">
      <c r="A115" s="2"/>
      <c r="B115" s="2"/>
      <c r="C115" s="2"/>
      <c r="D115" s="2"/>
      <c r="E115" s="2"/>
      <c r="F115" s="37"/>
      <c r="G115" s="37"/>
      <c r="H115" s="41">
        <f t="shared" si="1"/>
        <v>0</v>
      </c>
      <c r="I115" s="2"/>
      <c r="J115" s="2"/>
      <c r="K115" s="2"/>
      <c r="L115" s="2"/>
      <c r="M115" s="2"/>
      <c r="N115" s="2"/>
    </row>
    <row r="116" spans="1:14" x14ac:dyDescent="0.25">
      <c r="A116" s="2"/>
      <c r="B116" s="2"/>
      <c r="C116" s="2"/>
      <c r="D116" s="2"/>
      <c r="E116" s="2"/>
      <c r="F116" s="37"/>
      <c r="G116" s="37"/>
      <c r="H116" s="41">
        <f t="shared" si="1"/>
        <v>0</v>
      </c>
      <c r="I116" s="2"/>
      <c r="J116" s="2"/>
      <c r="K116" s="2"/>
      <c r="L116" s="2"/>
      <c r="M116" s="2"/>
      <c r="N116" s="2"/>
    </row>
    <row r="117" spans="1:14" x14ac:dyDescent="0.25">
      <c r="A117" s="2"/>
      <c r="B117" s="2"/>
      <c r="C117" s="2"/>
      <c r="D117" s="2"/>
      <c r="E117" s="2"/>
      <c r="F117" s="37"/>
      <c r="G117" s="37"/>
      <c r="H117" s="41">
        <f t="shared" si="1"/>
        <v>0</v>
      </c>
      <c r="I117" s="2"/>
      <c r="J117" s="2"/>
      <c r="K117" s="2"/>
      <c r="L117" s="2"/>
      <c r="M117" s="2"/>
      <c r="N117" s="2"/>
    </row>
    <row r="118" spans="1:14" x14ac:dyDescent="0.25">
      <c r="A118" s="2"/>
      <c r="B118" s="2"/>
      <c r="C118" s="2"/>
      <c r="D118" s="2"/>
      <c r="E118" s="2"/>
      <c r="F118" s="37"/>
      <c r="G118" s="37"/>
      <c r="H118" s="41">
        <f t="shared" si="1"/>
        <v>0</v>
      </c>
      <c r="I118" s="2"/>
      <c r="J118" s="2"/>
      <c r="K118" s="2"/>
      <c r="L118" s="2"/>
      <c r="M118" s="2"/>
      <c r="N118" s="2"/>
    </row>
    <row r="119" spans="1:14" x14ac:dyDescent="0.25">
      <c r="A119" s="2"/>
      <c r="B119" s="2"/>
      <c r="C119" s="2"/>
      <c r="D119" s="2"/>
      <c r="E119" s="2"/>
      <c r="F119" s="37"/>
      <c r="G119" s="37"/>
      <c r="H119" s="41">
        <f t="shared" si="1"/>
        <v>0</v>
      </c>
      <c r="I119" s="2"/>
      <c r="J119" s="2"/>
      <c r="K119" s="2"/>
      <c r="L119" s="2"/>
      <c r="M119" s="2"/>
      <c r="N119" s="2"/>
    </row>
    <row r="120" spans="1:14" x14ac:dyDescent="0.25">
      <c r="A120" s="2"/>
      <c r="B120" s="2"/>
      <c r="C120" s="2"/>
      <c r="D120" s="2"/>
      <c r="E120" s="2"/>
      <c r="F120" s="37"/>
      <c r="G120" s="37"/>
      <c r="H120" s="41">
        <f t="shared" si="1"/>
        <v>0</v>
      </c>
      <c r="I120" s="2"/>
      <c r="J120" s="2"/>
      <c r="K120" s="2"/>
      <c r="L120" s="2"/>
      <c r="M120" s="2"/>
      <c r="N120" s="2"/>
    </row>
    <row r="121" spans="1:14" x14ac:dyDescent="0.25">
      <c r="A121" s="2"/>
      <c r="B121" s="2"/>
      <c r="C121" s="2"/>
      <c r="D121" s="2"/>
      <c r="E121" s="2"/>
      <c r="F121" s="37"/>
      <c r="G121" s="37"/>
      <c r="H121" s="41">
        <f t="shared" si="1"/>
        <v>0</v>
      </c>
      <c r="I121" s="2"/>
      <c r="J121" s="2"/>
      <c r="K121" s="2"/>
      <c r="L121" s="2"/>
      <c r="M121" s="2"/>
      <c r="N121" s="2"/>
    </row>
    <row r="122" spans="1:14" x14ac:dyDescent="0.25">
      <c r="A122" s="2"/>
      <c r="B122" s="2"/>
      <c r="C122" s="2"/>
      <c r="D122" s="2"/>
      <c r="E122" s="2"/>
      <c r="F122" s="37"/>
      <c r="G122" s="37"/>
      <c r="H122" s="41">
        <f t="shared" si="1"/>
        <v>0</v>
      </c>
      <c r="I122" s="2"/>
      <c r="J122" s="2"/>
      <c r="K122" s="2"/>
      <c r="L122" s="2"/>
      <c r="M122" s="2"/>
      <c r="N122" s="2"/>
    </row>
    <row r="123" spans="1:14" x14ac:dyDescent="0.25">
      <c r="A123" s="2"/>
      <c r="B123" s="2"/>
      <c r="C123" s="2"/>
      <c r="D123" s="2"/>
      <c r="E123" s="2"/>
      <c r="F123" s="37"/>
      <c r="G123" s="37"/>
      <c r="H123" s="41">
        <f t="shared" si="1"/>
        <v>0</v>
      </c>
      <c r="I123" s="2"/>
      <c r="J123" s="2"/>
      <c r="K123" s="2"/>
      <c r="L123" s="2"/>
      <c r="M123" s="2"/>
      <c r="N123" s="2"/>
    </row>
    <row r="124" spans="1:14" x14ac:dyDescent="0.25">
      <c r="A124" s="2"/>
      <c r="B124" s="2"/>
      <c r="C124" s="2"/>
      <c r="D124" s="2"/>
      <c r="E124" s="2"/>
      <c r="F124" s="37"/>
      <c r="G124" s="37"/>
      <c r="H124" s="41">
        <f t="shared" si="1"/>
        <v>0</v>
      </c>
      <c r="I124" s="2"/>
      <c r="J124" s="2"/>
      <c r="K124" s="2"/>
      <c r="L124" s="2"/>
      <c r="M124" s="2"/>
      <c r="N124" s="2"/>
    </row>
    <row r="125" spans="1:14" x14ac:dyDescent="0.25">
      <c r="A125" s="2"/>
      <c r="B125" s="2"/>
      <c r="C125" s="2"/>
      <c r="D125" s="2"/>
      <c r="E125" s="2"/>
      <c r="F125" s="37"/>
      <c r="G125" s="37"/>
      <c r="H125" s="41">
        <f t="shared" si="1"/>
        <v>0</v>
      </c>
      <c r="I125" s="2"/>
      <c r="J125" s="2"/>
      <c r="K125" s="2"/>
      <c r="L125" s="2"/>
      <c r="M125" s="2"/>
      <c r="N125" s="2"/>
    </row>
    <row r="126" spans="1:14" x14ac:dyDescent="0.25">
      <c r="A126" s="2"/>
      <c r="B126" s="2"/>
      <c r="C126" s="2"/>
      <c r="D126" s="2"/>
      <c r="E126" s="2"/>
      <c r="F126" s="37"/>
      <c r="G126" s="37"/>
      <c r="H126" s="41">
        <f t="shared" si="1"/>
        <v>0</v>
      </c>
      <c r="I126" s="2"/>
      <c r="J126" s="2"/>
      <c r="K126" s="2"/>
      <c r="L126" s="2"/>
      <c r="M126" s="2"/>
      <c r="N126" s="2"/>
    </row>
    <row r="127" spans="1:14" x14ac:dyDescent="0.25">
      <c r="A127" s="2"/>
      <c r="B127" s="2"/>
      <c r="C127" s="2"/>
      <c r="D127" s="2"/>
      <c r="E127" s="2"/>
      <c r="F127" s="37"/>
      <c r="G127" s="37"/>
      <c r="H127" s="41">
        <f t="shared" si="1"/>
        <v>0</v>
      </c>
      <c r="I127" s="2"/>
      <c r="J127" s="2"/>
      <c r="K127" s="2"/>
      <c r="L127" s="2"/>
      <c r="M127" s="2"/>
      <c r="N127" s="2"/>
    </row>
    <row r="128" spans="1:14" x14ac:dyDescent="0.25">
      <c r="A128" s="2"/>
      <c r="B128" s="2"/>
      <c r="C128" s="2"/>
      <c r="D128" s="2"/>
      <c r="E128" s="2"/>
      <c r="F128" s="37"/>
      <c r="G128" s="37"/>
      <c r="H128" s="41">
        <f t="shared" si="1"/>
        <v>0</v>
      </c>
      <c r="I128" s="2"/>
      <c r="J128" s="2"/>
      <c r="K128" s="2"/>
      <c r="L128" s="2"/>
      <c r="M128" s="2"/>
      <c r="N128" s="2"/>
    </row>
    <row r="129" spans="1:14" x14ac:dyDescent="0.25">
      <c r="A129" s="2"/>
      <c r="B129" s="2"/>
      <c r="C129" s="2"/>
      <c r="D129" s="2"/>
      <c r="E129" s="2"/>
      <c r="F129" s="37"/>
      <c r="G129" s="37"/>
      <c r="H129" s="41">
        <f t="shared" si="1"/>
        <v>0</v>
      </c>
      <c r="I129" s="2"/>
      <c r="J129" s="2"/>
      <c r="K129" s="2"/>
      <c r="L129" s="2"/>
      <c r="M129" s="2"/>
      <c r="N129" s="2"/>
    </row>
    <row r="130" spans="1:14" x14ac:dyDescent="0.25">
      <c r="A130" s="2"/>
      <c r="B130" s="2"/>
      <c r="C130" s="2"/>
      <c r="D130" s="2"/>
      <c r="E130" s="2"/>
      <c r="F130" s="37"/>
      <c r="G130" s="37"/>
      <c r="H130" s="41">
        <f t="shared" si="1"/>
        <v>0</v>
      </c>
      <c r="I130" s="2"/>
      <c r="J130" s="2"/>
      <c r="K130" s="2"/>
      <c r="L130" s="2"/>
      <c r="M130" s="2"/>
      <c r="N130" s="2"/>
    </row>
    <row r="131" spans="1:14" x14ac:dyDescent="0.25">
      <c r="A131" s="2"/>
      <c r="B131" s="2"/>
      <c r="C131" s="2"/>
      <c r="D131" s="2"/>
      <c r="E131" s="2"/>
      <c r="F131" s="37"/>
      <c r="G131" s="37"/>
      <c r="H131" s="41">
        <f t="shared" si="1"/>
        <v>0</v>
      </c>
      <c r="I131" s="2"/>
      <c r="J131" s="2"/>
      <c r="K131" s="2"/>
      <c r="L131" s="2"/>
      <c r="M131" s="2"/>
      <c r="N131" s="2"/>
    </row>
    <row r="132" spans="1:14" x14ac:dyDescent="0.25">
      <c r="A132" s="2"/>
      <c r="B132" s="2"/>
      <c r="C132" s="2"/>
      <c r="D132" s="2"/>
      <c r="E132" s="2"/>
      <c r="F132" s="37"/>
      <c r="G132" s="37"/>
      <c r="H132" s="41">
        <f t="shared" si="1"/>
        <v>0</v>
      </c>
      <c r="I132" s="2"/>
      <c r="J132" s="2"/>
      <c r="K132" s="2"/>
      <c r="L132" s="2"/>
      <c r="M132" s="2"/>
      <c r="N132" s="2"/>
    </row>
    <row r="133" spans="1:14" x14ac:dyDescent="0.25">
      <c r="A133" s="2"/>
      <c r="B133" s="2"/>
      <c r="C133" s="2"/>
      <c r="D133" s="2"/>
      <c r="E133" s="2"/>
      <c r="F133" s="37"/>
      <c r="G133" s="37"/>
      <c r="H133" s="41">
        <f t="shared" si="1"/>
        <v>0</v>
      </c>
      <c r="I133" s="2"/>
      <c r="J133" s="2"/>
      <c r="K133" s="2"/>
      <c r="L133" s="2"/>
      <c r="M133" s="2"/>
      <c r="N133" s="2"/>
    </row>
    <row r="134" spans="1:14" x14ac:dyDescent="0.25">
      <c r="A134" s="2"/>
      <c r="B134" s="2"/>
      <c r="C134" s="2"/>
      <c r="D134" s="2"/>
      <c r="E134" s="2"/>
      <c r="F134" s="37"/>
      <c r="G134" s="37"/>
      <c r="H134" s="41">
        <f t="shared" si="1"/>
        <v>0</v>
      </c>
      <c r="I134" s="2"/>
      <c r="J134" s="2"/>
      <c r="K134" s="2"/>
      <c r="L134" s="2"/>
      <c r="M134" s="2"/>
      <c r="N134" s="2"/>
    </row>
    <row r="135" spans="1:14" x14ac:dyDescent="0.25">
      <c r="A135" s="2"/>
      <c r="B135" s="2"/>
      <c r="C135" s="2"/>
      <c r="D135" s="2"/>
      <c r="E135" s="2"/>
      <c r="F135" s="37"/>
      <c r="G135" s="37"/>
      <c r="H135" s="41">
        <f t="shared" si="1"/>
        <v>0</v>
      </c>
      <c r="I135" s="2"/>
      <c r="J135" s="2"/>
      <c r="K135" s="2"/>
      <c r="L135" s="2"/>
      <c r="M135" s="2"/>
      <c r="N135" s="2"/>
    </row>
    <row r="136" spans="1:14" x14ac:dyDescent="0.25">
      <c r="A136" s="2"/>
      <c r="B136" s="2"/>
      <c r="C136" s="2"/>
      <c r="D136" s="2"/>
      <c r="E136" s="2"/>
      <c r="F136" s="37"/>
      <c r="G136" s="37"/>
      <c r="H136" s="41">
        <f t="shared" si="1"/>
        <v>0</v>
      </c>
      <c r="I136" s="2"/>
      <c r="J136" s="2"/>
      <c r="K136" s="2"/>
      <c r="L136" s="2"/>
      <c r="M136" s="2"/>
      <c r="N136" s="2"/>
    </row>
    <row r="137" spans="1:14" x14ac:dyDescent="0.25">
      <c r="A137" s="2"/>
      <c r="B137" s="2"/>
      <c r="C137" s="2"/>
      <c r="D137" s="2"/>
      <c r="E137" s="2"/>
      <c r="F137" s="37"/>
      <c r="G137" s="37"/>
      <c r="H137" s="41">
        <f t="shared" si="1"/>
        <v>0</v>
      </c>
      <c r="I137" s="2"/>
      <c r="J137" s="2"/>
      <c r="K137" s="2"/>
      <c r="L137" s="2"/>
      <c r="M137" s="2"/>
      <c r="N137" s="2"/>
    </row>
    <row r="138" spans="1:14" x14ac:dyDescent="0.25">
      <c r="A138" s="2"/>
      <c r="B138" s="2"/>
      <c r="C138" s="2"/>
      <c r="D138" s="2"/>
      <c r="E138" s="2"/>
      <c r="F138" s="37"/>
      <c r="G138" s="37"/>
      <c r="H138" s="41">
        <f t="shared" si="1"/>
        <v>0</v>
      </c>
      <c r="I138" s="2"/>
      <c r="J138" s="2"/>
      <c r="K138" s="2"/>
      <c r="L138" s="2"/>
      <c r="M138" s="2"/>
      <c r="N138" s="2"/>
    </row>
    <row r="139" spans="1:14" x14ac:dyDescent="0.25">
      <c r="A139" s="2"/>
      <c r="B139" s="2"/>
      <c r="C139" s="2"/>
      <c r="D139" s="2"/>
      <c r="E139" s="2"/>
      <c r="F139" s="37"/>
      <c r="G139" s="37"/>
      <c r="H139" s="41">
        <f t="shared" si="1"/>
        <v>0</v>
      </c>
      <c r="I139" s="2"/>
      <c r="J139" s="2"/>
      <c r="K139" s="2"/>
      <c r="L139" s="2"/>
      <c r="M139" s="2"/>
      <c r="N139" s="2"/>
    </row>
    <row r="140" spans="1:14" x14ac:dyDescent="0.25">
      <c r="A140" s="2"/>
      <c r="B140" s="2"/>
      <c r="C140" s="2"/>
      <c r="D140" s="2"/>
      <c r="E140" s="2"/>
      <c r="F140" s="37"/>
      <c r="G140" s="37"/>
      <c r="H140" s="41">
        <f t="shared" si="1"/>
        <v>0</v>
      </c>
      <c r="I140" s="2"/>
      <c r="J140" s="2"/>
      <c r="K140" s="2"/>
      <c r="L140" s="2"/>
      <c r="M140" s="2"/>
      <c r="N140" s="2"/>
    </row>
    <row r="141" spans="1:14" x14ac:dyDescent="0.25">
      <c r="A141" s="2"/>
      <c r="B141" s="2"/>
      <c r="C141" s="2"/>
      <c r="D141" s="2"/>
      <c r="E141" s="2"/>
      <c r="F141" s="37"/>
      <c r="G141" s="37"/>
      <c r="H141" s="41">
        <f t="shared" si="1"/>
        <v>0</v>
      </c>
      <c r="I141" s="2"/>
      <c r="J141" s="2"/>
      <c r="K141" s="2"/>
      <c r="L141" s="2"/>
      <c r="M141" s="2"/>
      <c r="N141" s="2"/>
    </row>
    <row r="142" spans="1:14" x14ac:dyDescent="0.25">
      <c r="A142" s="2"/>
      <c r="B142" s="2"/>
      <c r="C142" s="2"/>
      <c r="D142" s="2"/>
      <c r="E142" s="2"/>
      <c r="F142" s="37"/>
      <c r="G142" s="37"/>
      <c r="H142" s="41">
        <f t="shared" ref="H142:H149" si="2">NETWORKDAYS(F142,G142)</f>
        <v>0</v>
      </c>
      <c r="I142" s="2"/>
      <c r="J142" s="2"/>
      <c r="K142" s="2"/>
      <c r="L142" s="2"/>
      <c r="M142" s="2"/>
      <c r="N142" s="2"/>
    </row>
    <row r="143" spans="1:14" x14ac:dyDescent="0.25">
      <c r="A143" s="2"/>
      <c r="B143" s="2"/>
      <c r="C143" s="2"/>
      <c r="D143" s="2"/>
      <c r="E143" s="2"/>
      <c r="F143" s="37"/>
      <c r="G143" s="37"/>
      <c r="H143" s="41">
        <f t="shared" si="2"/>
        <v>0</v>
      </c>
      <c r="I143" s="2"/>
      <c r="J143" s="2"/>
      <c r="K143" s="2"/>
      <c r="L143" s="2"/>
      <c r="M143" s="2"/>
      <c r="N143" s="2"/>
    </row>
    <row r="144" spans="1:14" x14ac:dyDescent="0.25">
      <c r="A144" s="2"/>
      <c r="B144" s="2"/>
      <c r="C144" s="2"/>
      <c r="D144" s="2"/>
      <c r="E144" s="2"/>
      <c r="F144" s="37"/>
      <c r="G144" s="37"/>
      <c r="H144" s="41">
        <f t="shared" si="2"/>
        <v>0</v>
      </c>
      <c r="I144" s="2"/>
      <c r="J144" s="2"/>
      <c r="K144" s="2"/>
      <c r="L144" s="2"/>
      <c r="M144" s="2"/>
      <c r="N144" s="2"/>
    </row>
    <row r="145" spans="1:14" x14ac:dyDescent="0.25">
      <c r="A145" s="2"/>
      <c r="B145" s="2"/>
      <c r="C145" s="2"/>
      <c r="D145" s="2"/>
      <c r="E145" s="2"/>
      <c r="F145" s="37"/>
      <c r="G145" s="37"/>
      <c r="H145" s="41">
        <f t="shared" si="2"/>
        <v>0</v>
      </c>
      <c r="I145" s="2"/>
      <c r="J145" s="2"/>
      <c r="K145" s="2"/>
      <c r="L145" s="2"/>
      <c r="M145" s="2"/>
      <c r="N145" s="2"/>
    </row>
    <row r="146" spans="1:14" x14ac:dyDescent="0.25">
      <c r="A146" s="2"/>
      <c r="B146" s="2"/>
      <c r="C146" s="2"/>
      <c r="D146" s="2"/>
      <c r="E146" s="2"/>
      <c r="F146" s="37"/>
      <c r="G146" s="37"/>
      <c r="H146" s="41">
        <f t="shared" si="2"/>
        <v>0</v>
      </c>
      <c r="I146" s="2"/>
      <c r="J146" s="2"/>
      <c r="K146" s="2"/>
      <c r="L146" s="2"/>
      <c r="M146" s="2"/>
      <c r="N146" s="2"/>
    </row>
    <row r="147" spans="1:14" x14ac:dyDescent="0.25">
      <c r="A147" s="2"/>
      <c r="B147" s="2"/>
      <c r="C147" s="2"/>
      <c r="D147" s="2"/>
      <c r="E147" s="2"/>
      <c r="F147" s="37"/>
      <c r="G147" s="37"/>
      <c r="H147" s="41">
        <f t="shared" si="2"/>
        <v>0</v>
      </c>
      <c r="I147" s="2"/>
      <c r="J147" s="2"/>
      <c r="K147" s="2"/>
      <c r="L147" s="2"/>
      <c r="M147" s="2"/>
      <c r="N147" s="2"/>
    </row>
    <row r="148" spans="1:14" x14ac:dyDescent="0.25">
      <c r="A148" s="2"/>
      <c r="B148" s="2"/>
      <c r="C148" s="2"/>
      <c r="D148" s="2"/>
      <c r="E148" s="2"/>
      <c r="F148" s="37"/>
      <c r="G148" s="37"/>
      <c r="H148" s="41">
        <f t="shared" si="2"/>
        <v>0</v>
      </c>
      <c r="I148" s="2"/>
      <c r="J148" s="2"/>
      <c r="K148" s="2"/>
      <c r="L148" s="2"/>
      <c r="M148" s="2"/>
      <c r="N148" s="2"/>
    </row>
    <row r="149" spans="1:14" x14ac:dyDescent="0.25">
      <c r="A149" s="2"/>
      <c r="B149" s="2"/>
      <c r="C149" s="2"/>
      <c r="D149" s="2"/>
      <c r="E149" s="2"/>
      <c r="F149" s="37"/>
      <c r="G149" s="37"/>
      <c r="H149" s="41">
        <f t="shared" si="2"/>
        <v>0</v>
      </c>
      <c r="I149" s="2"/>
      <c r="J149" s="2"/>
      <c r="K149" s="2"/>
      <c r="L149" s="2"/>
      <c r="M149" s="2"/>
      <c r="N149" s="2"/>
    </row>
  </sheetData>
  <mergeCells count="1">
    <mergeCell ref="N4:N38"/>
  </mergeCells>
  <dataValidations count="5">
    <dataValidation type="list" sqref="N39:N149 M4:M149" xr:uid="{D386336E-192D-4EDC-AF8E-9D3CB75CA0E5}">
      <formula1>"TBC,Not Started,In Progress,Ready,Blocked,Complete,N/A"</formula1>
    </dataValidation>
    <dataValidation type="list" allowBlank="1" showInputMessage="1" showErrorMessage="1" sqref="A4:A149" xr:uid="{609CADC2-E556-42FD-9F50-CE4359D4D743}">
      <formula1>"Public Web,Secure Web"</formula1>
    </dataValidation>
    <dataValidation type="list" allowBlank="1" showInputMessage="1" showErrorMessage="1" sqref="J4:J149" xr:uid="{3B674A24-B2E4-4A10-A4D3-022B30758FB8}">
      <formula1>"Critical,High,Medium,Low"</formula1>
    </dataValidation>
    <dataValidation type="list" allowBlank="1" showInputMessage="1" showErrorMessage="1" sqref="I4:I149" xr:uid="{3BEE3879-21E4-47CF-BB66-4FF7CFF54C8C}">
      <formula1>"10%,20%,30%,40%,50%,60%,70%,80%,90%,100%"</formula1>
    </dataValidation>
    <dataValidation type="list" allowBlank="1" showInputMessage="1" showErrorMessage="1" sqref="K4:K149" xr:uid="{9E3D6CFB-8683-4E26-B925-CE1E0E8F93A1}">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7C74-63BF-491B-9803-705A34A3ABF8}">
  <dimension ref="A1:N140"/>
  <sheetViews>
    <sheetView workbookViewId="0">
      <selection activeCell="D12" sqref="D12"/>
    </sheetView>
  </sheetViews>
  <sheetFormatPr defaultColWidth="38.7109375" defaultRowHeight="15" x14ac:dyDescent="0.25"/>
  <cols>
    <col min="1" max="1" width="20.42578125" customWidth="1"/>
    <col min="2" max="2" width="28.140625" customWidth="1"/>
    <col min="3" max="3" width="26.7109375" customWidth="1"/>
    <col min="4" max="4" width="27.7109375" customWidth="1"/>
    <col min="6" max="7" width="22.28515625" customWidth="1"/>
    <col min="8" max="8" width="12" style="4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43.5" x14ac:dyDescent="0.25">
      <c r="A1" s="12" t="s">
        <v>16</v>
      </c>
      <c r="B1" s="12" t="s">
        <v>18</v>
      </c>
    </row>
    <row r="2" spans="1:14" ht="21.75" x14ac:dyDescent="0.25">
      <c r="A2" s="12" t="s">
        <v>1</v>
      </c>
      <c r="B2" s="12" t="s">
        <v>215</v>
      </c>
    </row>
    <row r="3" spans="1:14" ht="60" x14ac:dyDescent="0.25">
      <c r="A3" s="13" t="s">
        <v>2</v>
      </c>
      <c r="B3" s="13" t="s">
        <v>3</v>
      </c>
      <c r="C3" s="14" t="s">
        <v>4</v>
      </c>
      <c r="D3" s="15" t="s">
        <v>5</v>
      </c>
      <c r="E3" s="13" t="s">
        <v>6</v>
      </c>
      <c r="F3" s="13" t="s">
        <v>7</v>
      </c>
      <c r="G3" s="13" t="s">
        <v>8</v>
      </c>
      <c r="H3" s="13" t="s">
        <v>9</v>
      </c>
      <c r="I3" s="13" t="s">
        <v>10</v>
      </c>
      <c r="J3" s="13" t="s">
        <v>11</v>
      </c>
      <c r="K3" s="16" t="s">
        <v>12</v>
      </c>
      <c r="L3" s="16" t="s">
        <v>13</v>
      </c>
      <c r="M3" s="15" t="s">
        <v>14</v>
      </c>
      <c r="N3" s="49" t="s">
        <v>15</v>
      </c>
    </row>
    <row r="4" spans="1:14" ht="30" x14ac:dyDescent="0.25">
      <c r="A4" s="2" t="s">
        <v>35</v>
      </c>
      <c r="B4" s="2" t="s">
        <v>86</v>
      </c>
      <c r="C4" s="2" t="s">
        <v>109</v>
      </c>
      <c r="D4" s="2" t="s">
        <v>107</v>
      </c>
      <c r="E4" s="2" t="s">
        <v>321</v>
      </c>
      <c r="F4" s="37">
        <v>46177</v>
      </c>
      <c r="G4" s="37">
        <v>46181</v>
      </c>
      <c r="H4" s="43">
        <f>NETWORKDAYS(F4,G4)</f>
        <v>3</v>
      </c>
      <c r="I4" s="39">
        <v>0.8</v>
      </c>
      <c r="J4" s="2" t="s">
        <v>31</v>
      </c>
      <c r="K4" s="2" t="s">
        <v>32</v>
      </c>
      <c r="L4" s="2" t="s">
        <v>221</v>
      </c>
      <c r="M4" s="2" t="s">
        <v>36</v>
      </c>
      <c r="N4" s="2"/>
    </row>
    <row r="5" spans="1:14" ht="30" x14ac:dyDescent="0.25">
      <c r="A5" s="2" t="s">
        <v>35</v>
      </c>
      <c r="B5" s="2" t="s">
        <v>86</v>
      </c>
      <c r="C5" s="2" t="s">
        <v>109</v>
      </c>
      <c r="D5" s="2" t="s">
        <v>106</v>
      </c>
      <c r="E5" s="2" t="s">
        <v>321</v>
      </c>
      <c r="F5" s="37">
        <v>46183</v>
      </c>
      <c r="G5" s="37">
        <v>46188</v>
      </c>
      <c r="H5" s="43">
        <f t="shared" ref="H5:H68" si="0">NETWORKDAYS(F5,G5)</f>
        <v>4</v>
      </c>
      <c r="I5" s="39">
        <v>0.8</v>
      </c>
      <c r="J5" s="2" t="s">
        <v>31</v>
      </c>
      <c r="K5" s="2" t="s">
        <v>32</v>
      </c>
      <c r="L5" s="2" t="s">
        <v>221</v>
      </c>
      <c r="M5" s="2" t="s">
        <v>36</v>
      </c>
      <c r="N5" s="2"/>
    </row>
    <row r="6" spans="1:14" ht="30" x14ac:dyDescent="0.25">
      <c r="A6" s="2" t="s">
        <v>35</v>
      </c>
      <c r="B6" s="2" t="s">
        <v>86</v>
      </c>
      <c r="C6" s="2" t="s">
        <v>109</v>
      </c>
      <c r="D6" s="2" t="s">
        <v>323</v>
      </c>
      <c r="E6" s="2" t="s">
        <v>321</v>
      </c>
      <c r="F6" s="37">
        <v>46189</v>
      </c>
      <c r="G6" s="37">
        <v>46190</v>
      </c>
      <c r="H6" s="43">
        <f t="shared" si="0"/>
        <v>2</v>
      </c>
      <c r="I6" s="39">
        <v>0.8</v>
      </c>
      <c r="J6" s="2" t="s">
        <v>31</v>
      </c>
      <c r="K6" s="2" t="s">
        <v>32</v>
      </c>
      <c r="L6" s="2" t="s">
        <v>221</v>
      </c>
      <c r="M6" s="2" t="s">
        <v>36</v>
      </c>
      <c r="N6" s="2"/>
    </row>
    <row r="7" spans="1:14" ht="30" x14ac:dyDescent="0.25">
      <c r="A7" s="2" t="s">
        <v>35</v>
      </c>
      <c r="B7" s="2" t="s">
        <v>86</v>
      </c>
      <c r="C7" s="2" t="s">
        <v>109</v>
      </c>
      <c r="D7" s="2" t="s">
        <v>324</v>
      </c>
      <c r="E7" s="2" t="s">
        <v>321</v>
      </c>
      <c r="F7" s="37">
        <v>46209</v>
      </c>
      <c r="G7" s="37">
        <v>46211</v>
      </c>
      <c r="H7" s="43">
        <f t="shared" si="0"/>
        <v>3</v>
      </c>
      <c r="I7" s="39">
        <v>1</v>
      </c>
      <c r="J7" s="2" t="s">
        <v>31</v>
      </c>
      <c r="K7" s="2" t="s">
        <v>32</v>
      </c>
      <c r="L7" s="2" t="s">
        <v>221</v>
      </c>
      <c r="M7" s="2" t="s">
        <v>36</v>
      </c>
      <c r="N7" s="2"/>
    </row>
    <row r="8" spans="1:14" x14ac:dyDescent="0.25">
      <c r="A8" s="2" t="s">
        <v>35</v>
      </c>
      <c r="B8" s="2" t="s">
        <v>86</v>
      </c>
      <c r="C8" s="2"/>
      <c r="D8" s="2"/>
      <c r="E8" s="2"/>
      <c r="F8" s="37"/>
      <c r="G8" s="37"/>
      <c r="H8" s="43">
        <f t="shared" si="0"/>
        <v>0</v>
      </c>
      <c r="I8" s="2"/>
      <c r="J8" s="2"/>
      <c r="K8" s="2"/>
      <c r="L8" s="2"/>
      <c r="M8" s="2"/>
      <c r="N8" s="2"/>
    </row>
    <row r="9" spans="1:14" x14ac:dyDescent="0.25">
      <c r="A9" s="2" t="s">
        <v>35</v>
      </c>
      <c r="B9" s="2" t="s">
        <v>86</v>
      </c>
      <c r="C9" s="2"/>
      <c r="D9" s="2"/>
      <c r="E9" s="2"/>
      <c r="F9" s="37"/>
      <c r="G9" s="37"/>
      <c r="H9" s="43">
        <f t="shared" si="0"/>
        <v>0</v>
      </c>
      <c r="I9" s="2"/>
      <c r="J9" s="2"/>
      <c r="K9" s="2"/>
      <c r="L9" s="2"/>
      <c r="M9" s="2"/>
      <c r="N9" s="2"/>
    </row>
    <row r="10" spans="1:14" x14ac:dyDescent="0.25">
      <c r="A10" s="2" t="s">
        <v>35</v>
      </c>
      <c r="B10" s="2" t="s">
        <v>86</v>
      </c>
      <c r="C10" s="2"/>
      <c r="D10" s="2"/>
      <c r="E10" s="2"/>
      <c r="F10" s="37"/>
      <c r="G10" s="37"/>
      <c r="H10" s="43">
        <f t="shared" si="0"/>
        <v>0</v>
      </c>
      <c r="I10" s="2"/>
      <c r="J10" s="2"/>
      <c r="K10" s="2"/>
      <c r="L10" s="2"/>
      <c r="M10" s="2"/>
      <c r="N10" s="2"/>
    </row>
    <row r="11" spans="1:14" x14ac:dyDescent="0.25">
      <c r="A11" s="2" t="s">
        <v>35</v>
      </c>
      <c r="B11" s="2" t="s">
        <v>86</v>
      </c>
      <c r="C11" s="2"/>
      <c r="D11" s="2"/>
      <c r="E11" s="2"/>
      <c r="F11" s="37"/>
      <c r="G11" s="37"/>
      <c r="H11" s="43">
        <f t="shared" si="0"/>
        <v>0</v>
      </c>
      <c r="I11" s="2"/>
      <c r="J11" s="2"/>
      <c r="K11" s="2"/>
      <c r="L11" s="2"/>
      <c r="M11" s="2"/>
      <c r="N11" s="2"/>
    </row>
    <row r="12" spans="1:14" x14ac:dyDescent="0.25">
      <c r="A12" s="2" t="s">
        <v>35</v>
      </c>
      <c r="B12" s="2" t="s">
        <v>86</v>
      </c>
      <c r="C12" s="2"/>
      <c r="D12" s="2"/>
      <c r="E12" s="2"/>
      <c r="F12" s="37"/>
      <c r="G12" s="37"/>
      <c r="H12" s="43">
        <f t="shared" si="0"/>
        <v>0</v>
      </c>
      <c r="I12" s="2"/>
      <c r="J12" s="2"/>
      <c r="K12" s="2"/>
      <c r="L12" s="2"/>
      <c r="M12" s="2"/>
      <c r="N12" s="2"/>
    </row>
    <row r="13" spans="1:14" x14ac:dyDescent="0.25">
      <c r="A13" s="2" t="s">
        <v>35</v>
      </c>
      <c r="B13" s="2" t="s">
        <v>86</v>
      </c>
      <c r="C13" s="2"/>
      <c r="D13" s="2"/>
      <c r="E13" s="2"/>
      <c r="F13" s="37"/>
      <c r="G13" s="37"/>
      <c r="H13" s="43">
        <f t="shared" si="0"/>
        <v>0</v>
      </c>
      <c r="I13" s="2"/>
      <c r="J13" s="2"/>
      <c r="K13" s="2"/>
      <c r="L13" s="2"/>
      <c r="M13" s="2"/>
      <c r="N13" s="2"/>
    </row>
    <row r="14" spans="1:14" x14ac:dyDescent="0.25">
      <c r="A14" s="2"/>
      <c r="B14" s="2"/>
      <c r="C14" s="2"/>
      <c r="D14" s="2"/>
      <c r="E14" s="2"/>
      <c r="F14" s="37"/>
      <c r="G14" s="37"/>
      <c r="H14" s="43">
        <f t="shared" si="0"/>
        <v>0</v>
      </c>
      <c r="I14" s="2"/>
      <c r="J14" s="2"/>
      <c r="K14" s="2"/>
      <c r="L14" s="2"/>
      <c r="M14" s="2"/>
      <c r="N14" s="2"/>
    </row>
    <row r="15" spans="1:14" x14ac:dyDescent="0.25">
      <c r="A15" s="2"/>
      <c r="B15" s="2"/>
      <c r="C15" s="2"/>
      <c r="D15" s="2"/>
      <c r="E15" s="2"/>
      <c r="F15" s="37"/>
      <c r="G15" s="37"/>
      <c r="H15" s="43">
        <f t="shared" si="0"/>
        <v>0</v>
      </c>
      <c r="I15" s="2"/>
      <c r="J15" s="2"/>
      <c r="K15" s="2"/>
      <c r="L15" s="2"/>
      <c r="M15" s="2"/>
      <c r="N15" s="2"/>
    </row>
    <row r="16" spans="1:14" x14ac:dyDescent="0.25">
      <c r="A16" s="2"/>
      <c r="B16" s="2"/>
      <c r="C16" s="2"/>
      <c r="D16" s="2"/>
      <c r="E16" s="2"/>
      <c r="F16" s="37"/>
      <c r="G16" s="37"/>
      <c r="H16" s="43">
        <f t="shared" si="0"/>
        <v>0</v>
      </c>
      <c r="I16" s="2"/>
      <c r="J16" s="2"/>
      <c r="K16" s="2"/>
      <c r="L16" s="2"/>
      <c r="M16" s="2"/>
      <c r="N16" s="2"/>
    </row>
    <row r="17" spans="1:14" x14ac:dyDescent="0.25">
      <c r="A17" s="2"/>
      <c r="B17" s="2"/>
      <c r="C17" s="2"/>
      <c r="D17" s="2"/>
      <c r="E17" s="2"/>
      <c r="F17" s="37"/>
      <c r="G17" s="37"/>
      <c r="H17" s="43">
        <f t="shared" si="0"/>
        <v>0</v>
      </c>
      <c r="I17" s="2"/>
      <c r="J17" s="2"/>
      <c r="K17" s="2"/>
      <c r="L17" s="2"/>
      <c r="M17" s="2"/>
      <c r="N17" s="2"/>
    </row>
    <row r="18" spans="1:14" x14ac:dyDescent="0.25">
      <c r="A18" s="2"/>
      <c r="B18" s="2"/>
      <c r="C18" s="2"/>
      <c r="D18" s="2"/>
      <c r="E18" s="2"/>
      <c r="F18" s="37"/>
      <c r="G18" s="37"/>
      <c r="H18" s="43">
        <f t="shared" si="0"/>
        <v>0</v>
      </c>
      <c r="I18" s="2"/>
      <c r="J18" s="2"/>
      <c r="K18" s="2"/>
      <c r="L18" s="2"/>
      <c r="M18" s="2"/>
      <c r="N18" s="2"/>
    </row>
    <row r="19" spans="1:14" x14ac:dyDescent="0.25">
      <c r="A19" s="2"/>
      <c r="B19" s="2"/>
      <c r="C19" s="2"/>
      <c r="D19" s="2"/>
      <c r="E19" s="2"/>
      <c r="F19" s="37"/>
      <c r="G19" s="37"/>
      <c r="H19" s="43">
        <f t="shared" si="0"/>
        <v>0</v>
      </c>
      <c r="I19" s="2"/>
      <c r="J19" s="2"/>
      <c r="K19" s="2"/>
      <c r="L19" s="2"/>
      <c r="M19" s="2"/>
      <c r="N19" s="2"/>
    </row>
    <row r="20" spans="1:14" x14ac:dyDescent="0.25">
      <c r="A20" s="2"/>
      <c r="B20" s="2"/>
      <c r="C20" s="2"/>
      <c r="D20" s="2"/>
      <c r="E20" s="2"/>
      <c r="F20" s="37"/>
      <c r="G20" s="37"/>
      <c r="H20" s="43">
        <f t="shared" si="0"/>
        <v>0</v>
      </c>
      <c r="I20" s="2"/>
      <c r="J20" s="2"/>
      <c r="K20" s="2"/>
      <c r="L20" s="2"/>
      <c r="M20" s="2"/>
      <c r="N20" s="2"/>
    </row>
    <row r="21" spans="1:14" x14ac:dyDescent="0.25">
      <c r="A21" s="2"/>
      <c r="B21" s="2"/>
      <c r="C21" s="2"/>
      <c r="D21" s="2"/>
      <c r="E21" s="2"/>
      <c r="F21" s="37"/>
      <c r="G21" s="37"/>
      <c r="H21" s="43">
        <f t="shared" si="0"/>
        <v>0</v>
      </c>
      <c r="I21" s="2"/>
      <c r="J21" s="2"/>
      <c r="K21" s="2"/>
      <c r="L21" s="2"/>
      <c r="M21" s="2"/>
      <c r="N21" s="2"/>
    </row>
    <row r="22" spans="1:14" x14ac:dyDescent="0.25">
      <c r="A22" s="2"/>
      <c r="B22" s="2"/>
      <c r="C22" s="2"/>
      <c r="D22" s="2"/>
      <c r="E22" s="2"/>
      <c r="F22" s="37"/>
      <c r="G22" s="37"/>
      <c r="H22" s="43">
        <f t="shared" si="0"/>
        <v>0</v>
      </c>
      <c r="I22" s="2"/>
      <c r="J22" s="2"/>
      <c r="K22" s="2"/>
      <c r="L22" s="2"/>
      <c r="M22" s="2"/>
      <c r="N22" s="2"/>
    </row>
    <row r="23" spans="1:14" x14ac:dyDescent="0.25">
      <c r="A23" s="2"/>
      <c r="B23" s="2"/>
      <c r="C23" s="2"/>
      <c r="D23" s="2"/>
      <c r="E23" s="2"/>
      <c r="F23" s="37"/>
      <c r="G23" s="37"/>
      <c r="H23" s="43">
        <f t="shared" si="0"/>
        <v>0</v>
      </c>
      <c r="I23" s="2"/>
      <c r="J23" s="2"/>
      <c r="K23" s="2"/>
      <c r="L23" s="2"/>
      <c r="M23" s="2"/>
      <c r="N23" s="2"/>
    </row>
    <row r="24" spans="1:14" x14ac:dyDescent="0.25">
      <c r="A24" s="2"/>
      <c r="B24" s="2"/>
      <c r="C24" s="2"/>
      <c r="D24" s="2"/>
      <c r="E24" s="2"/>
      <c r="F24" s="37"/>
      <c r="G24" s="37"/>
      <c r="H24" s="43">
        <f t="shared" si="0"/>
        <v>0</v>
      </c>
      <c r="I24" s="2"/>
      <c r="J24" s="2"/>
      <c r="K24" s="2"/>
      <c r="L24" s="2"/>
      <c r="M24" s="2"/>
      <c r="N24" s="2"/>
    </row>
    <row r="25" spans="1:14" x14ac:dyDescent="0.25">
      <c r="A25" s="2"/>
      <c r="B25" s="2"/>
      <c r="C25" s="2"/>
      <c r="D25" s="2"/>
      <c r="E25" s="2"/>
      <c r="F25" s="37"/>
      <c r="G25" s="37"/>
      <c r="H25" s="43">
        <f t="shared" si="0"/>
        <v>0</v>
      </c>
      <c r="I25" s="2"/>
      <c r="J25" s="2"/>
      <c r="K25" s="2"/>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ref="H69:H132" si="1">NETWORKDAYS(F69,G69)</f>
        <v>0</v>
      </c>
      <c r="I69" s="2"/>
      <c r="J69" s="2"/>
      <c r="K69" s="2"/>
      <c r="L69" s="2"/>
      <c r="M69" s="2"/>
      <c r="N69" s="2"/>
    </row>
    <row r="70" spans="1:14" x14ac:dyDescent="0.25">
      <c r="A70" s="2"/>
      <c r="B70" s="2"/>
      <c r="C70" s="2"/>
      <c r="D70" s="2"/>
      <c r="E70" s="2"/>
      <c r="F70" s="37"/>
      <c r="G70" s="37"/>
      <c r="H70" s="43">
        <f t="shared" si="1"/>
        <v>0</v>
      </c>
      <c r="I70" s="2"/>
      <c r="J70" s="2"/>
      <c r="K70" s="2"/>
      <c r="L70" s="2"/>
      <c r="M70" s="2"/>
      <c r="N70" s="2"/>
    </row>
    <row r="71" spans="1:14" x14ac:dyDescent="0.25">
      <c r="A71" s="2"/>
      <c r="B71" s="2"/>
      <c r="C71" s="2"/>
      <c r="D71" s="2"/>
      <c r="E71" s="2"/>
      <c r="F71" s="37"/>
      <c r="G71" s="37"/>
      <c r="H71" s="43">
        <f t="shared" si="1"/>
        <v>0</v>
      </c>
      <c r="I71" s="2"/>
      <c r="J71" s="2"/>
      <c r="K71" s="2"/>
      <c r="L71" s="2"/>
      <c r="M71" s="2"/>
      <c r="N71" s="2"/>
    </row>
    <row r="72" spans="1:14" x14ac:dyDescent="0.25">
      <c r="A72" s="2"/>
      <c r="B72" s="2"/>
      <c r="C72" s="2"/>
      <c r="D72" s="2"/>
      <c r="E72" s="2"/>
      <c r="F72" s="37"/>
      <c r="G72" s="37"/>
      <c r="H72" s="43">
        <f t="shared" si="1"/>
        <v>0</v>
      </c>
      <c r="I72" s="2"/>
      <c r="J72" s="2"/>
      <c r="K72" s="2"/>
      <c r="L72" s="2"/>
      <c r="M72" s="2"/>
      <c r="N72" s="2"/>
    </row>
    <row r="73" spans="1:14" x14ac:dyDescent="0.25">
      <c r="A73" s="2"/>
      <c r="B73" s="2"/>
      <c r="C73" s="2"/>
      <c r="D73" s="2"/>
      <c r="E73" s="2"/>
      <c r="F73" s="37"/>
      <c r="G73" s="37"/>
      <c r="H73" s="43">
        <f t="shared" si="1"/>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ref="H133:H140" si="2">NETWORKDAYS(F133,G133)</f>
        <v>0</v>
      </c>
      <c r="I133" s="2"/>
      <c r="J133" s="2"/>
      <c r="K133" s="2"/>
      <c r="L133" s="2"/>
      <c r="M133" s="2"/>
      <c r="N133" s="2"/>
    </row>
    <row r="134" spans="1:14" x14ac:dyDescent="0.25">
      <c r="A134" s="2"/>
      <c r="B134" s="2"/>
      <c r="C134" s="2"/>
      <c r="D134" s="2"/>
      <c r="E134" s="2"/>
      <c r="F134" s="37"/>
      <c r="G134" s="37"/>
      <c r="H134" s="43">
        <f t="shared" si="2"/>
        <v>0</v>
      </c>
      <c r="I134" s="2"/>
      <c r="J134" s="2"/>
      <c r="K134" s="2"/>
      <c r="L134" s="2"/>
      <c r="M134" s="2"/>
      <c r="N134" s="2"/>
    </row>
    <row r="135" spans="1:14" x14ac:dyDescent="0.25">
      <c r="A135" s="2"/>
      <c r="B135" s="2"/>
      <c r="C135" s="2"/>
      <c r="D135" s="2"/>
      <c r="E135" s="2"/>
      <c r="F135" s="37"/>
      <c r="G135" s="37"/>
      <c r="H135" s="43">
        <f t="shared" si="2"/>
        <v>0</v>
      </c>
      <c r="I135" s="2"/>
      <c r="J135" s="2"/>
      <c r="K135" s="2"/>
      <c r="L135" s="2"/>
      <c r="M135" s="2"/>
      <c r="N135" s="2"/>
    </row>
    <row r="136" spans="1:14" x14ac:dyDescent="0.25">
      <c r="A136" s="2"/>
      <c r="B136" s="2"/>
      <c r="C136" s="2"/>
      <c r="D136" s="2"/>
      <c r="E136" s="2"/>
      <c r="F136" s="37"/>
      <c r="G136" s="37"/>
      <c r="H136" s="43">
        <f t="shared" si="2"/>
        <v>0</v>
      </c>
      <c r="I136" s="2"/>
      <c r="J136" s="2"/>
      <c r="K136" s="2"/>
      <c r="L136" s="2"/>
      <c r="M136" s="2"/>
      <c r="N136" s="2"/>
    </row>
    <row r="137" spans="1:14" x14ac:dyDescent="0.25">
      <c r="A137" s="2"/>
      <c r="B137" s="2"/>
      <c r="C137" s="2"/>
      <c r="D137" s="2"/>
      <c r="E137" s="2"/>
      <c r="F137" s="37"/>
      <c r="G137" s="37"/>
      <c r="H137" s="43">
        <f t="shared" si="2"/>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row r="139" spans="1:14" x14ac:dyDescent="0.25">
      <c r="A139" s="2"/>
      <c r="B139" s="2"/>
      <c r="C139" s="2"/>
      <c r="D139" s="2"/>
      <c r="E139" s="2"/>
      <c r="F139" s="37"/>
      <c r="G139" s="37"/>
      <c r="H139" s="43">
        <f t="shared" si="2"/>
        <v>0</v>
      </c>
      <c r="I139" s="2"/>
      <c r="J139" s="2"/>
      <c r="K139" s="2"/>
      <c r="L139" s="2"/>
      <c r="M139" s="2"/>
      <c r="N139" s="2"/>
    </row>
    <row r="140" spans="1:14" x14ac:dyDescent="0.25">
      <c r="A140" s="2"/>
      <c r="B140" s="2"/>
      <c r="C140" s="2"/>
      <c r="D140" s="2"/>
      <c r="E140" s="2"/>
      <c r="F140" s="37"/>
      <c r="G140" s="37"/>
      <c r="H140" s="43">
        <f t="shared" si="2"/>
        <v>0</v>
      </c>
      <c r="I140" s="2"/>
      <c r="J140" s="2"/>
      <c r="K140" s="2"/>
      <c r="L140" s="2"/>
      <c r="M140" s="2"/>
      <c r="N140" s="2"/>
    </row>
  </sheetData>
  <dataValidations count="5">
    <dataValidation type="list" allowBlank="1" showInputMessage="1" showErrorMessage="1" sqref="J4:J140" xr:uid="{0B370E8B-B282-4358-9F29-59FC5D2C7EF5}">
      <formula1>"Critical,High,Medium,Low"</formula1>
    </dataValidation>
    <dataValidation type="list" sqref="M4:N140" xr:uid="{DCF00CA6-BAD9-43D8-8D5C-04A407128283}">
      <formula1>"TBC,Not Started,In Progress,Ready,Blocked,Complete,N/A"</formula1>
    </dataValidation>
    <dataValidation type="list" allowBlank="1" showInputMessage="1" showErrorMessage="1" sqref="I4:I140" xr:uid="{252F1768-E63F-45AB-A1F2-02EB0FE19B6C}">
      <formula1>"10%,20%,30%,40%,50%,60%,70%,80%,90%,100%"</formula1>
    </dataValidation>
    <dataValidation type="list" allowBlank="1" showInputMessage="1" showErrorMessage="1" sqref="K4:K140" xr:uid="{84B4146E-03E1-4780-907B-C235F6C33758}">
      <formula1>"Yes,No"</formula1>
    </dataValidation>
    <dataValidation type="list" allowBlank="1" showInputMessage="1" showErrorMessage="1" sqref="A4:A140" xr:uid="{C645785F-0614-4A8F-992D-FC7E4FC94153}">
      <formula1>"Public Web,Secure Web"</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5FD9-FBD0-4F1C-B55E-272FD4742004}">
  <dimension ref="A1:N140"/>
  <sheetViews>
    <sheetView topLeftCell="A16" workbookViewId="0">
      <selection activeCell="F13" sqref="F13"/>
    </sheetView>
  </sheetViews>
  <sheetFormatPr defaultColWidth="38.7109375" defaultRowHeight="15" x14ac:dyDescent="0.25"/>
  <cols>
    <col min="1" max="1" width="20.42578125" customWidth="1"/>
    <col min="2" max="2" width="28.140625" customWidth="1"/>
    <col min="3" max="3" width="37.7109375" customWidth="1"/>
    <col min="4" max="4" width="25.7109375" customWidth="1"/>
    <col min="6" max="7" width="20.42578125" customWidth="1"/>
    <col min="8" max="8" width="25.140625"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17" t="s">
        <v>16</v>
      </c>
      <c r="B1" s="17" t="s">
        <v>19</v>
      </c>
    </row>
    <row r="2" spans="1:14" ht="21.75" x14ac:dyDescent="0.25">
      <c r="A2" s="17" t="s">
        <v>1</v>
      </c>
      <c r="B2" s="17" t="s">
        <v>105</v>
      </c>
    </row>
    <row r="3" spans="1:14" ht="60" x14ac:dyDescent="0.25">
      <c r="A3" s="18" t="s">
        <v>2</v>
      </c>
      <c r="B3" s="18" t="s">
        <v>3</v>
      </c>
      <c r="C3" s="19" t="s">
        <v>4</v>
      </c>
      <c r="D3" s="20" t="s">
        <v>5</v>
      </c>
      <c r="E3" s="18" t="s">
        <v>6</v>
      </c>
      <c r="F3" s="18" t="s">
        <v>7</v>
      </c>
      <c r="G3" s="18" t="s">
        <v>8</v>
      </c>
      <c r="H3" s="18" t="s">
        <v>9</v>
      </c>
      <c r="I3" s="18" t="s">
        <v>10</v>
      </c>
      <c r="J3" s="18" t="s">
        <v>11</v>
      </c>
      <c r="K3" s="21" t="s">
        <v>12</v>
      </c>
      <c r="L3" s="21" t="s">
        <v>13</v>
      </c>
      <c r="M3" s="20" t="s">
        <v>14</v>
      </c>
      <c r="N3" s="48" t="s">
        <v>15</v>
      </c>
    </row>
    <row r="4" spans="1:14" ht="60" x14ac:dyDescent="0.25">
      <c r="A4" s="2" t="s">
        <v>38</v>
      </c>
      <c r="B4" s="2" t="s">
        <v>85</v>
      </c>
      <c r="C4" s="2" t="s">
        <v>151</v>
      </c>
      <c r="D4" s="2" t="s">
        <v>24</v>
      </c>
      <c r="E4" s="37" t="s">
        <v>62</v>
      </c>
      <c r="F4" s="37" t="s">
        <v>65</v>
      </c>
      <c r="G4" s="37" t="s">
        <v>65</v>
      </c>
      <c r="H4" s="37" t="s">
        <v>65</v>
      </c>
      <c r="I4" s="39">
        <v>0.1</v>
      </c>
      <c r="J4" s="2" t="s">
        <v>26</v>
      </c>
      <c r="K4" s="2" t="s">
        <v>32</v>
      </c>
      <c r="L4" s="2" t="s">
        <v>66</v>
      </c>
      <c r="M4" s="2" t="s">
        <v>36</v>
      </c>
      <c r="N4" s="2" t="s">
        <v>71</v>
      </c>
    </row>
    <row r="5" spans="1:14" ht="30" x14ac:dyDescent="0.25">
      <c r="A5" s="2"/>
      <c r="B5" s="2"/>
      <c r="C5" s="2" t="s">
        <v>151</v>
      </c>
      <c r="D5" s="2" t="s">
        <v>150</v>
      </c>
      <c r="E5" s="2" t="s">
        <v>149</v>
      </c>
      <c r="F5" s="37" t="s">
        <v>65</v>
      </c>
      <c r="G5" s="37" t="s">
        <v>65</v>
      </c>
      <c r="H5" s="37" t="s">
        <v>65</v>
      </c>
      <c r="I5" s="39">
        <v>0.1</v>
      </c>
      <c r="J5" s="2" t="s">
        <v>26</v>
      </c>
      <c r="K5" s="2"/>
      <c r="L5" s="2"/>
      <c r="M5" s="2"/>
      <c r="N5" s="2"/>
    </row>
    <row r="6" spans="1:14" ht="30" x14ac:dyDescent="0.25">
      <c r="A6" s="2" t="s">
        <v>38</v>
      </c>
      <c r="B6" s="2" t="s">
        <v>85</v>
      </c>
      <c r="C6" s="2" t="s">
        <v>87</v>
      </c>
      <c r="D6" s="2" t="s">
        <v>24</v>
      </c>
      <c r="E6" s="37" t="s">
        <v>63</v>
      </c>
      <c r="F6" s="37" t="s">
        <v>65</v>
      </c>
      <c r="G6" s="37" t="s">
        <v>65</v>
      </c>
      <c r="H6" s="37" t="s">
        <v>65</v>
      </c>
      <c r="I6" s="39">
        <v>0.1</v>
      </c>
      <c r="J6" s="2" t="s">
        <v>26</v>
      </c>
      <c r="K6" s="2" t="s">
        <v>32</v>
      </c>
      <c r="L6" s="2" t="s">
        <v>67</v>
      </c>
      <c r="M6" s="2" t="s">
        <v>34</v>
      </c>
      <c r="N6" s="2" t="s">
        <v>80</v>
      </c>
    </row>
    <row r="7" spans="1:14" ht="30" x14ac:dyDescent="0.25">
      <c r="A7" s="2" t="s">
        <v>38</v>
      </c>
      <c r="B7" s="2" t="s">
        <v>85</v>
      </c>
      <c r="C7" s="2" t="s">
        <v>87</v>
      </c>
      <c r="D7" s="2" t="s">
        <v>24</v>
      </c>
      <c r="E7" s="37" t="s">
        <v>64</v>
      </c>
      <c r="F7" s="37" t="s">
        <v>65</v>
      </c>
      <c r="G7" s="37" t="s">
        <v>65</v>
      </c>
      <c r="H7" s="37" t="s">
        <v>65</v>
      </c>
      <c r="I7" s="39">
        <v>0.1</v>
      </c>
      <c r="J7" s="2" t="s">
        <v>26</v>
      </c>
      <c r="K7" s="2" t="s">
        <v>32</v>
      </c>
      <c r="L7" s="2" t="s">
        <v>70</v>
      </c>
      <c r="M7" s="2" t="s">
        <v>34</v>
      </c>
      <c r="N7" s="2" t="s">
        <v>80</v>
      </c>
    </row>
    <row r="8" spans="1:14" x14ac:dyDescent="0.25">
      <c r="A8" s="2" t="s">
        <v>35</v>
      </c>
      <c r="B8" s="2" t="s">
        <v>86</v>
      </c>
      <c r="C8" s="2" t="s">
        <v>91</v>
      </c>
      <c r="D8" s="2" t="s">
        <v>93</v>
      </c>
      <c r="E8" s="37" t="s">
        <v>69</v>
      </c>
      <c r="F8" s="37">
        <v>46174</v>
      </c>
      <c r="G8" s="37">
        <v>46234</v>
      </c>
      <c r="H8" s="43">
        <f t="shared" ref="H6:H68" si="0">NETWORKDAYS(F8,G8)</f>
        <v>45</v>
      </c>
      <c r="I8" s="39">
        <v>0.8</v>
      </c>
      <c r="J8" s="2" t="s">
        <v>26</v>
      </c>
      <c r="K8" s="2" t="s">
        <v>27</v>
      </c>
      <c r="L8" s="2"/>
      <c r="M8" s="2" t="s">
        <v>36</v>
      </c>
      <c r="N8" s="2"/>
    </row>
    <row r="9" spans="1:14" ht="30" x14ac:dyDescent="0.25">
      <c r="A9" s="2" t="s">
        <v>38</v>
      </c>
      <c r="B9" s="2" t="s">
        <v>85</v>
      </c>
      <c r="C9" s="2" t="s">
        <v>87</v>
      </c>
      <c r="D9" s="2" t="s">
        <v>24</v>
      </c>
      <c r="E9" s="37" t="s">
        <v>72</v>
      </c>
      <c r="F9" s="37">
        <v>46143</v>
      </c>
      <c r="G9" s="37">
        <v>46203</v>
      </c>
      <c r="H9" s="43">
        <f t="shared" si="0"/>
        <v>43</v>
      </c>
      <c r="I9" s="39">
        <v>0.8</v>
      </c>
      <c r="J9" s="2" t="s">
        <v>26</v>
      </c>
      <c r="K9" s="2" t="s">
        <v>27</v>
      </c>
      <c r="L9" s="2"/>
      <c r="M9" s="2" t="s">
        <v>36</v>
      </c>
      <c r="N9" s="2"/>
    </row>
    <row r="10" spans="1:14" ht="30" x14ac:dyDescent="0.25">
      <c r="A10" s="2" t="s">
        <v>38</v>
      </c>
      <c r="B10" s="2" t="s">
        <v>85</v>
      </c>
      <c r="C10" s="2" t="s">
        <v>87</v>
      </c>
      <c r="D10" s="2" t="s">
        <v>24</v>
      </c>
      <c r="E10" s="37" t="s">
        <v>73</v>
      </c>
      <c r="F10" s="37">
        <v>46082</v>
      </c>
      <c r="G10" s="37">
        <v>46203</v>
      </c>
      <c r="H10" s="43">
        <f t="shared" si="0"/>
        <v>87</v>
      </c>
      <c r="I10" s="39">
        <v>0.8</v>
      </c>
      <c r="J10" s="2" t="s">
        <v>26</v>
      </c>
      <c r="K10" s="2" t="s">
        <v>27</v>
      </c>
      <c r="L10" s="2"/>
      <c r="M10" s="2" t="s">
        <v>36</v>
      </c>
      <c r="N10" s="2"/>
    </row>
    <row r="11" spans="1:14" ht="30" x14ac:dyDescent="0.25">
      <c r="A11" s="2" t="s">
        <v>38</v>
      </c>
      <c r="B11" s="2" t="s">
        <v>85</v>
      </c>
      <c r="C11" s="2" t="s">
        <v>87</v>
      </c>
      <c r="D11" s="2" t="s">
        <v>24</v>
      </c>
      <c r="E11" s="37" t="s">
        <v>74</v>
      </c>
      <c r="F11" s="37">
        <v>46143</v>
      </c>
      <c r="G11" s="37">
        <v>46234</v>
      </c>
      <c r="H11" s="43">
        <f t="shared" si="0"/>
        <v>66</v>
      </c>
      <c r="I11" s="39">
        <v>0.8</v>
      </c>
      <c r="J11" s="2" t="s">
        <v>26</v>
      </c>
      <c r="K11" s="2" t="s">
        <v>27</v>
      </c>
      <c r="L11" s="2"/>
      <c r="M11" s="2" t="s">
        <v>36</v>
      </c>
      <c r="N11" s="2"/>
    </row>
    <row r="12" spans="1:14" x14ac:dyDescent="0.25">
      <c r="A12" s="2" t="s">
        <v>38</v>
      </c>
      <c r="B12" s="2" t="s">
        <v>85</v>
      </c>
      <c r="C12" s="2" t="s">
        <v>87</v>
      </c>
      <c r="D12" s="2" t="s">
        <v>24</v>
      </c>
      <c r="E12" s="37" t="s">
        <v>75</v>
      </c>
      <c r="F12" s="37">
        <v>46143</v>
      </c>
      <c r="G12" s="37">
        <v>46203</v>
      </c>
      <c r="H12" s="43">
        <v>43</v>
      </c>
      <c r="I12" s="39">
        <v>0.8</v>
      </c>
      <c r="J12" s="2" t="s">
        <v>26</v>
      </c>
      <c r="K12" s="2" t="s">
        <v>27</v>
      </c>
      <c r="L12" s="2"/>
      <c r="M12" s="2" t="s">
        <v>36</v>
      </c>
      <c r="N12" s="2"/>
    </row>
    <row r="13" spans="1:14" x14ac:dyDescent="0.25">
      <c r="A13" s="2" t="s">
        <v>38</v>
      </c>
      <c r="B13" s="2" t="s">
        <v>85</v>
      </c>
      <c r="C13" s="2" t="s">
        <v>87</v>
      </c>
      <c r="D13" s="2" t="s">
        <v>24</v>
      </c>
      <c r="E13" s="37" t="s">
        <v>76</v>
      </c>
      <c r="F13" s="37">
        <v>46143</v>
      </c>
      <c r="G13" s="37">
        <v>46203</v>
      </c>
      <c r="H13" s="43">
        <v>43</v>
      </c>
      <c r="I13" s="39">
        <v>0.8</v>
      </c>
      <c r="J13" s="2" t="s">
        <v>26</v>
      </c>
      <c r="K13" s="2" t="s">
        <v>27</v>
      </c>
      <c r="L13" s="2"/>
      <c r="M13" s="2" t="s">
        <v>36</v>
      </c>
      <c r="N13" s="2"/>
    </row>
    <row r="14" spans="1:14" ht="30" x14ac:dyDescent="0.25">
      <c r="A14" s="2" t="s">
        <v>38</v>
      </c>
      <c r="B14" s="2" t="s">
        <v>85</v>
      </c>
      <c r="C14" s="2" t="s">
        <v>87</v>
      </c>
      <c r="D14" s="2" t="s">
        <v>24</v>
      </c>
      <c r="E14" s="37" t="s">
        <v>77</v>
      </c>
      <c r="F14" s="37">
        <v>46204</v>
      </c>
      <c r="G14" s="37">
        <v>46357</v>
      </c>
      <c r="H14" s="43">
        <f t="shared" ref="H14:H15" si="1">NETWORKDAYS(F14,G14)</f>
        <v>110</v>
      </c>
      <c r="I14" s="39">
        <v>0.4</v>
      </c>
      <c r="J14" s="2" t="s">
        <v>26</v>
      </c>
      <c r="K14" s="2" t="s">
        <v>27</v>
      </c>
      <c r="L14" s="2"/>
      <c r="M14" s="2" t="s">
        <v>36</v>
      </c>
      <c r="N14" s="2"/>
    </row>
    <row r="15" spans="1:14" ht="30" x14ac:dyDescent="0.25">
      <c r="A15" s="2" t="s">
        <v>38</v>
      </c>
      <c r="B15" s="2" t="s">
        <v>85</v>
      </c>
      <c r="C15" s="2" t="s">
        <v>87</v>
      </c>
      <c r="D15" s="2" t="s">
        <v>24</v>
      </c>
      <c r="E15" s="37" t="s">
        <v>78</v>
      </c>
      <c r="F15" s="37">
        <v>46082</v>
      </c>
      <c r="G15" s="37">
        <v>46203</v>
      </c>
      <c r="H15" s="43">
        <f t="shared" si="1"/>
        <v>87</v>
      </c>
      <c r="I15" s="39">
        <v>0.8</v>
      </c>
      <c r="J15" s="2" t="s">
        <v>26</v>
      </c>
      <c r="K15" s="2" t="s">
        <v>27</v>
      </c>
      <c r="L15" s="2"/>
      <c r="M15" s="2" t="s">
        <v>36</v>
      </c>
      <c r="N15" s="2"/>
    </row>
    <row r="16" spans="1:14" ht="45" x14ac:dyDescent="0.25">
      <c r="A16" s="2" t="s">
        <v>35</v>
      </c>
      <c r="B16" s="2" t="s">
        <v>86</v>
      </c>
      <c r="C16" s="2" t="s">
        <v>91</v>
      </c>
      <c r="D16" s="2" t="s">
        <v>93</v>
      </c>
      <c r="E16" s="37" t="s">
        <v>79</v>
      </c>
      <c r="F16" s="37" t="s">
        <v>65</v>
      </c>
      <c r="G16" s="37" t="s">
        <v>65</v>
      </c>
      <c r="H16" s="43">
        <v>0</v>
      </c>
      <c r="I16" s="39">
        <v>0.1</v>
      </c>
      <c r="J16" s="2" t="s">
        <v>26</v>
      </c>
      <c r="K16" s="2" t="s">
        <v>32</v>
      </c>
      <c r="L16" s="2" t="s">
        <v>81</v>
      </c>
      <c r="M16" s="2" t="s">
        <v>34</v>
      </c>
      <c r="N16" s="2" t="s">
        <v>80</v>
      </c>
    </row>
    <row r="17" spans="1:14" x14ac:dyDescent="0.25">
      <c r="A17" s="2" t="s">
        <v>35</v>
      </c>
      <c r="B17" s="2" t="s">
        <v>86</v>
      </c>
      <c r="C17" s="2" t="s">
        <v>91</v>
      </c>
      <c r="D17" s="2" t="s">
        <v>93</v>
      </c>
      <c r="E17" s="2" t="s">
        <v>99</v>
      </c>
      <c r="F17" s="37">
        <v>46082</v>
      </c>
      <c r="G17" s="37">
        <v>46203</v>
      </c>
      <c r="H17" s="43">
        <f t="shared" ref="H17" si="2">NETWORKDAYS(F17,G17)</f>
        <v>87</v>
      </c>
      <c r="I17" s="39">
        <v>0.8</v>
      </c>
      <c r="J17" s="2" t="s">
        <v>26</v>
      </c>
      <c r="K17" s="2"/>
      <c r="L17" s="2"/>
      <c r="M17" s="2" t="s">
        <v>36</v>
      </c>
      <c r="N17" s="2"/>
    </row>
    <row r="18" spans="1:14" ht="45" x14ac:dyDescent="0.25">
      <c r="A18" s="2" t="s">
        <v>35</v>
      </c>
      <c r="B18" s="2" t="s">
        <v>86</v>
      </c>
      <c r="C18" s="2" t="s">
        <v>91</v>
      </c>
      <c r="D18" s="2" t="s">
        <v>93</v>
      </c>
      <c r="E18" s="2" t="s">
        <v>117</v>
      </c>
      <c r="F18" s="37" t="s">
        <v>132</v>
      </c>
      <c r="G18" s="37" t="s">
        <v>132</v>
      </c>
      <c r="H18" s="37" t="s">
        <v>132</v>
      </c>
      <c r="I18" s="39">
        <v>0.9</v>
      </c>
      <c r="J18" s="2" t="s">
        <v>26</v>
      </c>
      <c r="K18" s="2" t="s">
        <v>32</v>
      </c>
      <c r="L18" s="2" t="s">
        <v>133</v>
      </c>
      <c r="M18" s="2" t="s">
        <v>36</v>
      </c>
      <c r="N18" s="2" t="s">
        <v>65</v>
      </c>
    </row>
    <row r="19" spans="1:14" ht="45" x14ac:dyDescent="0.25">
      <c r="A19" s="2" t="s">
        <v>35</v>
      </c>
      <c r="B19" s="2" t="s">
        <v>86</v>
      </c>
      <c r="C19" s="2" t="s">
        <v>91</v>
      </c>
      <c r="D19" s="2" t="s">
        <v>93</v>
      </c>
      <c r="E19" s="2" t="s">
        <v>134</v>
      </c>
      <c r="F19" s="37">
        <v>46082</v>
      </c>
      <c r="G19" s="37">
        <v>46203</v>
      </c>
      <c r="H19" s="43">
        <f t="shared" ref="H19:H20" si="3">NETWORKDAYS(F19,G19)</f>
        <v>87</v>
      </c>
      <c r="I19" s="39">
        <v>0.8</v>
      </c>
      <c r="J19" s="2" t="s">
        <v>26</v>
      </c>
      <c r="K19" s="2" t="s">
        <v>27</v>
      </c>
      <c r="L19" s="2" t="s">
        <v>145</v>
      </c>
      <c r="M19" s="2" t="s">
        <v>36</v>
      </c>
      <c r="N19" s="2"/>
    </row>
    <row r="20" spans="1:14" ht="60" x14ac:dyDescent="0.25">
      <c r="A20" s="2" t="s">
        <v>35</v>
      </c>
      <c r="B20" s="2" t="s">
        <v>86</v>
      </c>
      <c r="C20" s="2" t="s">
        <v>91</v>
      </c>
      <c r="D20" s="2" t="s">
        <v>93</v>
      </c>
      <c r="E20" s="2" t="s">
        <v>135</v>
      </c>
      <c r="F20" s="37">
        <v>46082</v>
      </c>
      <c r="G20" s="37">
        <v>46203</v>
      </c>
      <c r="H20" s="43">
        <f t="shared" si="3"/>
        <v>87</v>
      </c>
      <c r="I20" s="39">
        <v>0.8</v>
      </c>
      <c r="J20" s="2" t="s">
        <v>26</v>
      </c>
      <c r="K20" s="2" t="s">
        <v>27</v>
      </c>
      <c r="L20" s="2" t="s">
        <v>146</v>
      </c>
      <c r="M20" s="2"/>
      <c r="N20" s="2"/>
    </row>
    <row r="21" spans="1:14" x14ac:dyDescent="0.25">
      <c r="A21" s="2" t="s">
        <v>35</v>
      </c>
      <c r="B21" s="2" t="s">
        <v>86</v>
      </c>
      <c r="C21" s="2" t="s">
        <v>91</v>
      </c>
      <c r="D21" s="2" t="s">
        <v>93</v>
      </c>
      <c r="E21" s="2" t="s">
        <v>136</v>
      </c>
      <c r="F21" s="37">
        <v>46083</v>
      </c>
      <c r="G21" s="37">
        <v>46203</v>
      </c>
      <c r="H21" s="43">
        <f t="shared" si="0"/>
        <v>87</v>
      </c>
      <c r="I21" s="2"/>
      <c r="J21" s="2" t="s">
        <v>26</v>
      </c>
      <c r="K21" s="2" t="s">
        <v>27</v>
      </c>
      <c r="L21" s="2"/>
      <c r="M21" s="2"/>
      <c r="N21" s="2"/>
    </row>
    <row r="22" spans="1:14" ht="45" x14ac:dyDescent="0.25">
      <c r="A22" s="2" t="s">
        <v>35</v>
      </c>
      <c r="B22" s="2" t="s">
        <v>86</v>
      </c>
      <c r="C22" s="2" t="s">
        <v>91</v>
      </c>
      <c r="D22" s="2" t="s">
        <v>93</v>
      </c>
      <c r="E22" s="2" t="s">
        <v>137</v>
      </c>
      <c r="F22" s="37" t="s">
        <v>132</v>
      </c>
      <c r="G22" s="37" t="s">
        <v>132</v>
      </c>
      <c r="H22" s="37" t="s">
        <v>132</v>
      </c>
      <c r="I22" s="39">
        <v>0.9</v>
      </c>
      <c r="J22" s="2" t="s">
        <v>26</v>
      </c>
      <c r="K22" s="2" t="s">
        <v>27</v>
      </c>
      <c r="L22" s="2"/>
      <c r="M22" s="2"/>
      <c r="N22" s="2"/>
    </row>
    <row r="23" spans="1:14" ht="45" x14ac:dyDescent="0.25">
      <c r="A23" s="2" t="s">
        <v>35</v>
      </c>
      <c r="B23" s="2" t="s">
        <v>86</v>
      </c>
      <c r="C23" s="2" t="s">
        <v>91</v>
      </c>
      <c r="D23" s="2" t="s">
        <v>93</v>
      </c>
      <c r="E23" s="2" t="s">
        <v>138</v>
      </c>
      <c r="F23" s="37" t="s">
        <v>132</v>
      </c>
      <c r="G23" s="37" t="s">
        <v>132</v>
      </c>
      <c r="H23" s="37" t="s">
        <v>132</v>
      </c>
      <c r="I23" s="39">
        <v>0.9</v>
      </c>
      <c r="J23" s="2" t="s">
        <v>26</v>
      </c>
      <c r="K23" s="2" t="s">
        <v>27</v>
      </c>
      <c r="L23" s="2"/>
      <c r="M23" s="2"/>
      <c r="N23" s="2"/>
    </row>
    <row r="24" spans="1:14" ht="45" x14ac:dyDescent="0.25">
      <c r="A24" s="2" t="s">
        <v>35</v>
      </c>
      <c r="B24" s="2" t="s">
        <v>86</v>
      </c>
      <c r="C24" s="2" t="s">
        <v>91</v>
      </c>
      <c r="D24" s="2" t="s">
        <v>93</v>
      </c>
      <c r="E24" s="2" t="s">
        <v>139</v>
      </c>
      <c r="F24" s="37" t="s">
        <v>132</v>
      </c>
      <c r="G24" s="37" t="s">
        <v>132</v>
      </c>
      <c r="H24" s="37" t="s">
        <v>132</v>
      </c>
      <c r="I24" s="39">
        <v>0.9</v>
      </c>
      <c r="J24" s="2" t="s">
        <v>26</v>
      </c>
      <c r="K24" s="2" t="s">
        <v>27</v>
      </c>
      <c r="L24" s="2"/>
      <c r="M24" s="2"/>
      <c r="N24" s="2"/>
    </row>
    <row r="25" spans="1:14" ht="30" x14ac:dyDescent="0.25">
      <c r="A25" s="2" t="s">
        <v>35</v>
      </c>
      <c r="B25" s="2" t="s">
        <v>86</v>
      </c>
      <c r="C25" s="2" t="s">
        <v>91</v>
      </c>
      <c r="D25" s="2" t="s">
        <v>93</v>
      </c>
      <c r="E25" s="2" t="s">
        <v>140</v>
      </c>
      <c r="F25" s="37" t="s">
        <v>141</v>
      </c>
      <c r="G25" s="37" t="s">
        <v>141</v>
      </c>
      <c r="H25" s="43" t="s">
        <v>144</v>
      </c>
      <c r="I25" s="39">
        <v>0.3</v>
      </c>
      <c r="J25" s="2" t="s">
        <v>26</v>
      </c>
      <c r="K25" s="2" t="s">
        <v>27</v>
      </c>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ref="H69:H132" si="4">NETWORKDAYS(F69,G69)</f>
        <v>0</v>
      </c>
      <c r="I69" s="2"/>
      <c r="J69" s="2"/>
      <c r="K69" s="2"/>
      <c r="L69" s="2"/>
      <c r="M69" s="2"/>
      <c r="N69" s="2"/>
    </row>
    <row r="70" spans="1:14" x14ac:dyDescent="0.25">
      <c r="A70" s="2"/>
      <c r="B70" s="2"/>
      <c r="C70" s="2"/>
      <c r="D70" s="2"/>
      <c r="E70" s="2"/>
      <c r="F70" s="37"/>
      <c r="G70" s="37"/>
      <c r="H70" s="43">
        <f t="shared" si="4"/>
        <v>0</v>
      </c>
      <c r="I70" s="2"/>
      <c r="J70" s="2"/>
      <c r="K70" s="2"/>
      <c r="L70" s="2"/>
      <c r="M70" s="2"/>
      <c r="N70" s="2"/>
    </row>
    <row r="71" spans="1:14" x14ac:dyDescent="0.25">
      <c r="A71" s="2"/>
      <c r="B71" s="2"/>
      <c r="C71" s="2"/>
      <c r="D71" s="2"/>
      <c r="E71" s="2"/>
      <c r="F71" s="37"/>
      <c r="G71" s="37"/>
      <c r="H71" s="43">
        <f t="shared" si="4"/>
        <v>0</v>
      </c>
      <c r="I71" s="2"/>
      <c r="J71" s="2"/>
      <c r="K71" s="2"/>
      <c r="L71" s="2"/>
      <c r="M71" s="2"/>
      <c r="N71" s="2"/>
    </row>
    <row r="72" spans="1:14" x14ac:dyDescent="0.25">
      <c r="A72" s="2"/>
      <c r="B72" s="2"/>
      <c r="C72" s="2"/>
      <c r="D72" s="2"/>
      <c r="E72" s="2"/>
      <c r="F72" s="37"/>
      <c r="G72" s="37"/>
      <c r="H72" s="43">
        <f t="shared" si="4"/>
        <v>0</v>
      </c>
      <c r="I72" s="2"/>
      <c r="J72" s="2"/>
      <c r="K72" s="2"/>
      <c r="L72" s="2"/>
      <c r="M72" s="2"/>
      <c r="N72" s="2"/>
    </row>
    <row r="73" spans="1:14" x14ac:dyDescent="0.25">
      <c r="A73" s="2"/>
      <c r="B73" s="2"/>
      <c r="C73" s="2"/>
      <c r="D73" s="2"/>
      <c r="E73" s="2"/>
      <c r="F73" s="37"/>
      <c r="G73" s="37"/>
      <c r="H73" s="43">
        <f t="shared" si="4"/>
        <v>0</v>
      </c>
      <c r="I73" s="2"/>
      <c r="J73" s="2"/>
      <c r="K73" s="2"/>
      <c r="L73" s="2"/>
      <c r="M73" s="2"/>
      <c r="N73" s="2"/>
    </row>
    <row r="74" spans="1:14" x14ac:dyDescent="0.25">
      <c r="A74" s="2"/>
      <c r="B74" s="2"/>
      <c r="C74" s="2"/>
      <c r="D74" s="2"/>
      <c r="E74" s="2"/>
      <c r="F74" s="37"/>
      <c r="G74" s="37"/>
      <c r="H74" s="43">
        <f t="shared" si="4"/>
        <v>0</v>
      </c>
      <c r="I74" s="2"/>
      <c r="J74" s="2"/>
      <c r="K74" s="2"/>
      <c r="L74" s="2"/>
      <c r="M74" s="2"/>
      <c r="N74" s="2"/>
    </row>
    <row r="75" spans="1:14" x14ac:dyDescent="0.25">
      <c r="A75" s="2"/>
      <c r="B75" s="2"/>
      <c r="C75" s="2"/>
      <c r="D75" s="2"/>
      <c r="E75" s="2"/>
      <c r="F75" s="37"/>
      <c r="G75" s="37"/>
      <c r="H75" s="43">
        <f t="shared" si="4"/>
        <v>0</v>
      </c>
      <c r="I75" s="2"/>
      <c r="J75" s="2"/>
      <c r="K75" s="2"/>
      <c r="L75" s="2"/>
      <c r="M75" s="2"/>
      <c r="N75" s="2"/>
    </row>
    <row r="76" spans="1:14" x14ac:dyDescent="0.25">
      <c r="A76" s="2"/>
      <c r="B76" s="2"/>
      <c r="C76" s="2"/>
      <c r="D76" s="2"/>
      <c r="E76" s="2"/>
      <c r="F76" s="37"/>
      <c r="G76" s="37"/>
      <c r="H76" s="43">
        <f t="shared" si="4"/>
        <v>0</v>
      </c>
      <c r="I76" s="2"/>
      <c r="J76" s="2"/>
      <c r="K76" s="2"/>
      <c r="L76" s="2"/>
      <c r="M76" s="2"/>
      <c r="N76" s="2"/>
    </row>
    <row r="77" spans="1:14" x14ac:dyDescent="0.25">
      <c r="A77" s="2"/>
      <c r="B77" s="2"/>
      <c r="C77" s="2"/>
      <c r="D77" s="2"/>
      <c r="E77" s="2"/>
      <c r="F77" s="37"/>
      <c r="G77" s="37"/>
      <c r="H77" s="43">
        <f t="shared" si="4"/>
        <v>0</v>
      </c>
      <c r="I77" s="2"/>
      <c r="J77" s="2"/>
      <c r="K77" s="2"/>
      <c r="L77" s="2"/>
      <c r="M77" s="2"/>
      <c r="N77" s="2"/>
    </row>
    <row r="78" spans="1:14" x14ac:dyDescent="0.25">
      <c r="A78" s="2"/>
      <c r="B78" s="2"/>
      <c r="C78" s="2"/>
      <c r="D78" s="2"/>
      <c r="E78" s="2"/>
      <c r="F78" s="37"/>
      <c r="G78" s="37"/>
      <c r="H78" s="43">
        <f t="shared" si="4"/>
        <v>0</v>
      </c>
      <c r="I78" s="2"/>
      <c r="J78" s="2"/>
      <c r="K78" s="2"/>
      <c r="L78" s="2"/>
      <c r="M78" s="2"/>
      <c r="N78" s="2"/>
    </row>
    <row r="79" spans="1:14" x14ac:dyDescent="0.25">
      <c r="A79" s="2"/>
      <c r="B79" s="2"/>
      <c r="C79" s="2"/>
      <c r="D79" s="2"/>
      <c r="E79" s="2"/>
      <c r="F79" s="37"/>
      <c r="G79" s="37"/>
      <c r="H79" s="43">
        <f t="shared" si="4"/>
        <v>0</v>
      </c>
      <c r="I79" s="2"/>
      <c r="J79" s="2"/>
      <c r="K79" s="2"/>
      <c r="L79" s="2"/>
      <c r="M79" s="2"/>
      <c r="N79" s="2"/>
    </row>
    <row r="80" spans="1:14" x14ac:dyDescent="0.25">
      <c r="A80" s="2"/>
      <c r="B80" s="2"/>
      <c r="C80" s="2"/>
      <c r="D80" s="2"/>
      <c r="E80" s="2"/>
      <c r="F80" s="37"/>
      <c r="G80" s="37"/>
      <c r="H80" s="43">
        <f t="shared" si="4"/>
        <v>0</v>
      </c>
      <c r="I80" s="2"/>
      <c r="J80" s="2"/>
      <c r="K80" s="2"/>
      <c r="L80" s="2"/>
      <c r="M80" s="2"/>
      <c r="N80" s="2"/>
    </row>
    <row r="81" spans="1:14" x14ac:dyDescent="0.25">
      <c r="A81" s="2"/>
      <c r="B81" s="2"/>
      <c r="C81" s="2"/>
      <c r="D81" s="2"/>
      <c r="E81" s="2"/>
      <c r="F81" s="37"/>
      <c r="G81" s="37"/>
      <c r="H81" s="43">
        <f t="shared" si="4"/>
        <v>0</v>
      </c>
      <c r="I81" s="2"/>
      <c r="J81" s="2"/>
      <c r="K81" s="2"/>
      <c r="L81" s="2"/>
      <c r="M81" s="2"/>
      <c r="N81" s="2"/>
    </row>
    <row r="82" spans="1:14" x14ac:dyDescent="0.25">
      <c r="A82" s="2"/>
      <c r="B82" s="2"/>
      <c r="C82" s="2"/>
      <c r="D82" s="2"/>
      <c r="E82" s="2"/>
      <c r="F82" s="37"/>
      <c r="G82" s="37"/>
      <c r="H82" s="43">
        <f t="shared" si="4"/>
        <v>0</v>
      </c>
      <c r="I82" s="2"/>
      <c r="J82" s="2"/>
      <c r="K82" s="2"/>
      <c r="L82" s="2"/>
      <c r="M82" s="2"/>
      <c r="N82" s="2"/>
    </row>
    <row r="83" spans="1:14" x14ac:dyDescent="0.25">
      <c r="A83" s="2"/>
      <c r="B83" s="2"/>
      <c r="C83" s="2"/>
      <c r="D83" s="2"/>
      <c r="E83" s="2"/>
      <c r="F83" s="37"/>
      <c r="G83" s="37"/>
      <c r="H83" s="43">
        <f t="shared" si="4"/>
        <v>0</v>
      </c>
      <c r="I83" s="2"/>
      <c r="J83" s="2"/>
      <c r="K83" s="2"/>
      <c r="L83" s="2"/>
      <c r="M83" s="2"/>
      <c r="N83" s="2"/>
    </row>
    <row r="84" spans="1:14" x14ac:dyDescent="0.25">
      <c r="A84" s="2"/>
      <c r="B84" s="2"/>
      <c r="C84" s="2"/>
      <c r="D84" s="2"/>
      <c r="E84" s="2"/>
      <c r="F84" s="37"/>
      <c r="G84" s="37"/>
      <c r="H84" s="43">
        <f t="shared" si="4"/>
        <v>0</v>
      </c>
      <c r="I84" s="2"/>
      <c r="J84" s="2"/>
      <c r="K84" s="2"/>
      <c r="L84" s="2"/>
      <c r="M84" s="2"/>
      <c r="N84" s="2"/>
    </row>
    <row r="85" spans="1:14" x14ac:dyDescent="0.25">
      <c r="A85" s="2"/>
      <c r="B85" s="2"/>
      <c r="C85" s="2"/>
      <c r="D85" s="2"/>
      <c r="E85" s="2"/>
      <c r="F85" s="37"/>
      <c r="G85" s="37"/>
      <c r="H85" s="43">
        <f t="shared" si="4"/>
        <v>0</v>
      </c>
      <c r="I85" s="2"/>
      <c r="J85" s="2"/>
      <c r="K85" s="2"/>
      <c r="L85" s="2"/>
      <c r="M85" s="2"/>
      <c r="N85" s="2"/>
    </row>
    <row r="86" spans="1:14" x14ac:dyDescent="0.25">
      <c r="A86" s="2"/>
      <c r="B86" s="2"/>
      <c r="C86" s="2"/>
      <c r="D86" s="2"/>
      <c r="E86" s="2"/>
      <c r="F86" s="37"/>
      <c r="G86" s="37"/>
      <c r="H86" s="43">
        <f t="shared" si="4"/>
        <v>0</v>
      </c>
      <c r="I86" s="2"/>
      <c r="J86" s="2"/>
      <c r="K86" s="2"/>
      <c r="L86" s="2"/>
      <c r="M86" s="2"/>
      <c r="N86" s="2"/>
    </row>
    <row r="87" spans="1:14" x14ac:dyDescent="0.25">
      <c r="A87" s="2"/>
      <c r="B87" s="2"/>
      <c r="C87" s="2"/>
      <c r="D87" s="2"/>
      <c r="E87" s="2"/>
      <c r="F87" s="37"/>
      <c r="G87" s="37"/>
      <c r="H87" s="43">
        <f t="shared" si="4"/>
        <v>0</v>
      </c>
      <c r="I87" s="2"/>
      <c r="J87" s="2"/>
      <c r="K87" s="2"/>
      <c r="L87" s="2"/>
      <c r="M87" s="2"/>
      <c r="N87" s="2"/>
    </row>
    <row r="88" spans="1:14" x14ac:dyDescent="0.25">
      <c r="A88" s="2"/>
      <c r="B88" s="2"/>
      <c r="C88" s="2"/>
      <c r="D88" s="2"/>
      <c r="E88" s="2"/>
      <c r="F88" s="37"/>
      <c r="G88" s="37"/>
      <c r="H88" s="43">
        <f t="shared" si="4"/>
        <v>0</v>
      </c>
      <c r="I88" s="2"/>
      <c r="J88" s="2"/>
      <c r="K88" s="2"/>
      <c r="L88" s="2"/>
      <c r="M88" s="2"/>
      <c r="N88" s="2"/>
    </row>
    <row r="89" spans="1:14" x14ac:dyDescent="0.25">
      <c r="A89" s="2"/>
      <c r="B89" s="2"/>
      <c r="C89" s="2"/>
      <c r="D89" s="2"/>
      <c r="E89" s="2"/>
      <c r="F89" s="37"/>
      <c r="G89" s="37"/>
      <c r="H89" s="43">
        <f t="shared" si="4"/>
        <v>0</v>
      </c>
      <c r="I89" s="2"/>
      <c r="J89" s="2"/>
      <c r="K89" s="2"/>
      <c r="L89" s="2"/>
      <c r="M89" s="2"/>
      <c r="N89" s="2"/>
    </row>
    <row r="90" spans="1:14" x14ac:dyDescent="0.25">
      <c r="A90" s="2"/>
      <c r="B90" s="2"/>
      <c r="C90" s="2"/>
      <c r="D90" s="2"/>
      <c r="E90" s="2"/>
      <c r="F90" s="37"/>
      <c r="G90" s="37"/>
      <c r="H90" s="43">
        <f t="shared" si="4"/>
        <v>0</v>
      </c>
      <c r="I90" s="2"/>
      <c r="J90" s="2"/>
      <c r="K90" s="2"/>
      <c r="L90" s="2"/>
      <c r="M90" s="2"/>
      <c r="N90" s="2"/>
    </row>
    <row r="91" spans="1:14" x14ac:dyDescent="0.25">
      <c r="A91" s="2"/>
      <c r="B91" s="2"/>
      <c r="C91" s="2"/>
      <c r="D91" s="2"/>
      <c r="E91" s="2"/>
      <c r="F91" s="37"/>
      <c r="G91" s="37"/>
      <c r="H91" s="43">
        <f t="shared" si="4"/>
        <v>0</v>
      </c>
      <c r="I91" s="2"/>
      <c r="J91" s="2"/>
      <c r="K91" s="2"/>
      <c r="L91" s="2"/>
      <c r="M91" s="2"/>
      <c r="N91" s="2"/>
    </row>
    <row r="92" spans="1:14" x14ac:dyDescent="0.25">
      <c r="A92" s="2"/>
      <c r="B92" s="2"/>
      <c r="C92" s="2"/>
      <c r="D92" s="2"/>
      <c r="E92" s="2"/>
      <c r="F92" s="37"/>
      <c r="G92" s="37"/>
      <c r="H92" s="43">
        <f t="shared" si="4"/>
        <v>0</v>
      </c>
      <c r="I92" s="2"/>
      <c r="J92" s="2"/>
      <c r="K92" s="2"/>
      <c r="L92" s="2"/>
      <c r="M92" s="2"/>
      <c r="N92" s="2"/>
    </row>
    <row r="93" spans="1:14" x14ac:dyDescent="0.25">
      <c r="A93" s="2"/>
      <c r="B93" s="2"/>
      <c r="C93" s="2"/>
      <c r="D93" s="2"/>
      <c r="E93" s="2"/>
      <c r="F93" s="37"/>
      <c r="G93" s="37"/>
      <c r="H93" s="43">
        <f t="shared" si="4"/>
        <v>0</v>
      </c>
      <c r="I93" s="2"/>
      <c r="J93" s="2"/>
      <c r="K93" s="2"/>
      <c r="L93" s="2"/>
      <c r="M93" s="2"/>
      <c r="N93" s="2"/>
    </row>
    <row r="94" spans="1:14" x14ac:dyDescent="0.25">
      <c r="A94" s="2"/>
      <c r="B94" s="2"/>
      <c r="C94" s="2"/>
      <c r="D94" s="2"/>
      <c r="E94" s="2"/>
      <c r="F94" s="37"/>
      <c r="G94" s="37"/>
      <c r="H94" s="43">
        <f t="shared" si="4"/>
        <v>0</v>
      </c>
      <c r="I94" s="2"/>
      <c r="J94" s="2"/>
      <c r="K94" s="2"/>
      <c r="L94" s="2"/>
      <c r="M94" s="2"/>
      <c r="N94" s="2"/>
    </row>
    <row r="95" spans="1:14" x14ac:dyDescent="0.25">
      <c r="A95" s="2"/>
      <c r="B95" s="2"/>
      <c r="C95" s="2"/>
      <c r="D95" s="2"/>
      <c r="E95" s="2"/>
      <c r="F95" s="37"/>
      <c r="G95" s="37"/>
      <c r="H95" s="43">
        <f t="shared" si="4"/>
        <v>0</v>
      </c>
      <c r="I95" s="2"/>
      <c r="J95" s="2"/>
      <c r="K95" s="2"/>
      <c r="L95" s="2"/>
      <c r="M95" s="2"/>
      <c r="N95" s="2"/>
    </row>
    <row r="96" spans="1:14" x14ac:dyDescent="0.25">
      <c r="A96" s="2"/>
      <c r="B96" s="2"/>
      <c r="C96" s="2"/>
      <c r="D96" s="2"/>
      <c r="E96" s="2"/>
      <c r="F96" s="37"/>
      <c r="G96" s="37"/>
      <c r="H96" s="43">
        <f t="shared" si="4"/>
        <v>0</v>
      </c>
      <c r="I96" s="2"/>
      <c r="J96" s="2"/>
      <c r="K96" s="2"/>
      <c r="L96" s="2"/>
      <c r="M96" s="2"/>
      <c r="N96" s="2"/>
    </row>
    <row r="97" spans="1:14" x14ac:dyDescent="0.25">
      <c r="A97" s="2"/>
      <c r="B97" s="2"/>
      <c r="C97" s="2"/>
      <c r="D97" s="2"/>
      <c r="E97" s="2"/>
      <c r="F97" s="37"/>
      <c r="G97" s="37"/>
      <c r="H97" s="43">
        <f t="shared" si="4"/>
        <v>0</v>
      </c>
      <c r="I97" s="2"/>
      <c r="J97" s="2"/>
      <c r="K97" s="2"/>
      <c r="L97" s="2"/>
      <c r="M97" s="2"/>
      <c r="N97" s="2"/>
    </row>
    <row r="98" spans="1:14" x14ac:dyDescent="0.25">
      <c r="A98" s="2"/>
      <c r="B98" s="2"/>
      <c r="C98" s="2"/>
      <c r="D98" s="2"/>
      <c r="E98" s="2"/>
      <c r="F98" s="37"/>
      <c r="G98" s="37"/>
      <c r="H98" s="43">
        <f t="shared" si="4"/>
        <v>0</v>
      </c>
      <c r="I98" s="2"/>
      <c r="J98" s="2"/>
      <c r="K98" s="2"/>
      <c r="L98" s="2"/>
      <c r="M98" s="2"/>
      <c r="N98" s="2"/>
    </row>
    <row r="99" spans="1:14" x14ac:dyDescent="0.25">
      <c r="A99" s="2"/>
      <c r="B99" s="2"/>
      <c r="C99" s="2"/>
      <c r="D99" s="2"/>
      <c r="E99" s="2"/>
      <c r="F99" s="37"/>
      <c r="G99" s="37"/>
      <c r="H99" s="43">
        <f t="shared" si="4"/>
        <v>0</v>
      </c>
      <c r="I99" s="2"/>
      <c r="J99" s="2"/>
      <c r="K99" s="2"/>
      <c r="L99" s="2"/>
      <c r="M99" s="2"/>
      <c r="N99" s="2"/>
    </row>
    <row r="100" spans="1:14" x14ac:dyDescent="0.25">
      <c r="A100" s="2"/>
      <c r="B100" s="2"/>
      <c r="C100" s="2"/>
      <c r="D100" s="2"/>
      <c r="E100" s="2"/>
      <c r="F100" s="37"/>
      <c r="G100" s="37"/>
      <c r="H100" s="43">
        <f t="shared" si="4"/>
        <v>0</v>
      </c>
      <c r="I100" s="2"/>
      <c r="J100" s="2"/>
      <c r="K100" s="2"/>
      <c r="L100" s="2"/>
      <c r="M100" s="2"/>
      <c r="N100" s="2"/>
    </row>
    <row r="101" spans="1:14" x14ac:dyDescent="0.25">
      <c r="A101" s="2"/>
      <c r="B101" s="2"/>
      <c r="C101" s="2"/>
      <c r="D101" s="2"/>
      <c r="E101" s="2"/>
      <c r="F101" s="37"/>
      <c r="G101" s="37"/>
      <c r="H101" s="43">
        <f t="shared" si="4"/>
        <v>0</v>
      </c>
      <c r="I101" s="2"/>
      <c r="J101" s="2"/>
      <c r="K101" s="2"/>
      <c r="L101" s="2"/>
      <c r="M101" s="2"/>
      <c r="N101" s="2"/>
    </row>
    <row r="102" spans="1:14" x14ac:dyDescent="0.25">
      <c r="A102" s="2"/>
      <c r="B102" s="2"/>
      <c r="C102" s="2"/>
      <c r="D102" s="2"/>
      <c r="E102" s="2"/>
      <c r="F102" s="37"/>
      <c r="G102" s="37"/>
      <c r="H102" s="43">
        <f t="shared" si="4"/>
        <v>0</v>
      </c>
      <c r="I102" s="2"/>
      <c r="J102" s="2"/>
      <c r="K102" s="2"/>
      <c r="L102" s="2"/>
      <c r="M102" s="2"/>
      <c r="N102" s="2"/>
    </row>
    <row r="103" spans="1:14" x14ac:dyDescent="0.25">
      <c r="A103" s="2"/>
      <c r="B103" s="2"/>
      <c r="C103" s="2"/>
      <c r="D103" s="2"/>
      <c r="E103" s="2"/>
      <c r="F103" s="37"/>
      <c r="G103" s="37"/>
      <c r="H103" s="43">
        <f t="shared" si="4"/>
        <v>0</v>
      </c>
      <c r="I103" s="2"/>
      <c r="J103" s="2"/>
      <c r="K103" s="2"/>
      <c r="L103" s="2"/>
      <c r="M103" s="2"/>
      <c r="N103" s="2"/>
    </row>
    <row r="104" spans="1:14" x14ac:dyDescent="0.25">
      <c r="A104" s="2"/>
      <c r="B104" s="2"/>
      <c r="C104" s="2"/>
      <c r="D104" s="2"/>
      <c r="E104" s="2"/>
      <c r="F104" s="37"/>
      <c r="G104" s="37"/>
      <c r="H104" s="43">
        <f t="shared" si="4"/>
        <v>0</v>
      </c>
      <c r="I104" s="2"/>
      <c r="J104" s="2"/>
      <c r="K104" s="2"/>
      <c r="L104" s="2"/>
      <c r="M104" s="2"/>
      <c r="N104" s="2"/>
    </row>
    <row r="105" spans="1:14" x14ac:dyDescent="0.25">
      <c r="A105" s="2"/>
      <c r="B105" s="2"/>
      <c r="C105" s="2"/>
      <c r="D105" s="2"/>
      <c r="E105" s="2"/>
      <c r="F105" s="37"/>
      <c r="G105" s="37"/>
      <c r="H105" s="43">
        <f t="shared" si="4"/>
        <v>0</v>
      </c>
      <c r="I105" s="2"/>
      <c r="J105" s="2"/>
      <c r="K105" s="2"/>
      <c r="L105" s="2"/>
      <c r="M105" s="2"/>
      <c r="N105" s="2"/>
    </row>
    <row r="106" spans="1:14" x14ac:dyDescent="0.25">
      <c r="A106" s="2"/>
      <c r="B106" s="2"/>
      <c r="C106" s="2"/>
      <c r="D106" s="2"/>
      <c r="E106" s="2"/>
      <c r="F106" s="37"/>
      <c r="G106" s="37"/>
      <c r="H106" s="43">
        <f t="shared" si="4"/>
        <v>0</v>
      </c>
      <c r="I106" s="2"/>
      <c r="J106" s="2"/>
      <c r="K106" s="2"/>
      <c r="L106" s="2"/>
      <c r="M106" s="2"/>
      <c r="N106" s="2"/>
    </row>
    <row r="107" spans="1:14" x14ac:dyDescent="0.25">
      <c r="A107" s="2"/>
      <c r="B107" s="2"/>
      <c r="C107" s="2"/>
      <c r="D107" s="2"/>
      <c r="E107" s="2"/>
      <c r="F107" s="37"/>
      <c r="G107" s="37"/>
      <c r="H107" s="43">
        <f t="shared" si="4"/>
        <v>0</v>
      </c>
      <c r="I107" s="2"/>
      <c r="J107" s="2"/>
      <c r="K107" s="2"/>
      <c r="L107" s="2"/>
      <c r="M107" s="2"/>
      <c r="N107" s="2"/>
    </row>
    <row r="108" spans="1:14" x14ac:dyDescent="0.25">
      <c r="A108" s="2"/>
      <c r="B108" s="2"/>
      <c r="C108" s="2"/>
      <c r="D108" s="2"/>
      <c r="E108" s="2"/>
      <c r="F108" s="37"/>
      <c r="G108" s="37"/>
      <c r="H108" s="43">
        <f t="shared" si="4"/>
        <v>0</v>
      </c>
      <c r="I108" s="2"/>
      <c r="J108" s="2"/>
      <c r="K108" s="2"/>
      <c r="L108" s="2"/>
      <c r="M108" s="2"/>
      <c r="N108" s="2"/>
    </row>
    <row r="109" spans="1:14" x14ac:dyDescent="0.25">
      <c r="A109" s="2"/>
      <c r="B109" s="2"/>
      <c r="C109" s="2"/>
      <c r="D109" s="2"/>
      <c r="E109" s="2"/>
      <c r="F109" s="37"/>
      <c r="G109" s="37"/>
      <c r="H109" s="43">
        <f t="shared" si="4"/>
        <v>0</v>
      </c>
      <c r="I109" s="2"/>
      <c r="J109" s="2"/>
      <c r="K109" s="2"/>
      <c r="L109" s="2"/>
      <c r="M109" s="2"/>
      <c r="N109" s="2"/>
    </row>
    <row r="110" spans="1:14" x14ac:dyDescent="0.25">
      <c r="A110" s="2"/>
      <c r="B110" s="2"/>
      <c r="C110" s="2"/>
      <c r="D110" s="2"/>
      <c r="E110" s="2"/>
      <c r="F110" s="37"/>
      <c r="G110" s="37"/>
      <c r="H110" s="43">
        <f t="shared" si="4"/>
        <v>0</v>
      </c>
      <c r="I110" s="2"/>
      <c r="J110" s="2"/>
      <c r="K110" s="2"/>
      <c r="L110" s="2"/>
      <c r="M110" s="2"/>
      <c r="N110" s="2"/>
    </row>
    <row r="111" spans="1:14" x14ac:dyDescent="0.25">
      <c r="A111" s="2"/>
      <c r="B111" s="2"/>
      <c r="C111" s="2"/>
      <c r="D111" s="2"/>
      <c r="E111" s="2"/>
      <c r="F111" s="37"/>
      <c r="G111" s="37"/>
      <c r="H111" s="43">
        <f t="shared" si="4"/>
        <v>0</v>
      </c>
      <c r="I111" s="2"/>
      <c r="J111" s="2"/>
      <c r="K111" s="2"/>
      <c r="L111" s="2"/>
      <c r="M111" s="2"/>
      <c r="N111" s="2"/>
    </row>
    <row r="112" spans="1:14" x14ac:dyDescent="0.25">
      <c r="A112" s="2"/>
      <c r="B112" s="2"/>
      <c r="C112" s="2"/>
      <c r="D112" s="2"/>
      <c r="E112" s="2"/>
      <c r="F112" s="37"/>
      <c r="G112" s="37"/>
      <c r="H112" s="43">
        <f t="shared" si="4"/>
        <v>0</v>
      </c>
      <c r="I112" s="2"/>
      <c r="J112" s="2"/>
      <c r="K112" s="2"/>
      <c r="L112" s="2"/>
      <c r="M112" s="2"/>
      <c r="N112" s="2"/>
    </row>
    <row r="113" spans="1:14" x14ac:dyDescent="0.25">
      <c r="A113" s="2"/>
      <c r="B113" s="2"/>
      <c r="C113" s="2"/>
      <c r="D113" s="2"/>
      <c r="E113" s="2"/>
      <c r="F113" s="37"/>
      <c r="G113" s="37"/>
      <c r="H113" s="43">
        <f t="shared" si="4"/>
        <v>0</v>
      </c>
      <c r="I113" s="2"/>
      <c r="J113" s="2"/>
      <c r="K113" s="2"/>
      <c r="L113" s="2"/>
      <c r="M113" s="2"/>
      <c r="N113" s="2"/>
    </row>
    <row r="114" spans="1:14" x14ac:dyDescent="0.25">
      <c r="A114" s="2"/>
      <c r="B114" s="2"/>
      <c r="C114" s="2"/>
      <c r="D114" s="2"/>
      <c r="E114" s="2"/>
      <c r="F114" s="37"/>
      <c r="G114" s="37"/>
      <c r="H114" s="43">
        <f t="shared" si="4"/>
        <v>0</v>
      </c>
      <c r="I114" s="2"/>
      <c r="J114" s="2"/>
      <c r="K114" s="2"/>
      <c r="L114" s="2"/>
      <c r="M114" s="2"/>
      <c r="N114" s="2"/>
    </row>
    <row r="115" spans="1:14" x14ac:dyDescent="0.25">
      <c r="A115" s="2"/>
      <c r="B115" s="2"/>
      <c r="C115" s="2"/>
      <c r="D115" s="2"/>
      <c r="E115" s="2"/>
      <c r="F115" s="37"/>
      <c r="G115" s="37"/>
      <c r="H115" s="43">
        <f t="shared" si="4"/>
        <v>0</v>
      </c>
      <c r="I115" s="2"/>
      <c r="J115" s="2"/>
      <c r="K115" s="2"/>
      <c r="L115" s="2"/>
      <c r="M115" s="2"/>
      <c r="N115" s="2"/>
    </row>
    <row r="116" spans="1:14" x14ac:dyDescent="0.25">
      <c r="A116" s="2"/>
      <c r="B116" s="2"/>
      <c r="C116" s="2"/>
      <c r="D116" s="2"/>
      <c r="E116" s="2"/>
      <c r="F116" s="37"/>
      <c r="G116" s="37"/>
      <c r="H116" s="43">
        <f t="shared" si="4"/>
        <v>0</v>
      </c>
      <c r="I116" s="2"/>
      <c r="J116" s="2"/>
      <c r="K116" s="2"/>
      <c r="L116" s="2"/>
      <c r="M116" s="2"/>
      <c r="N116" s="2"/>
    </row>
    <row r="117" spans="1:14" x14ac:dyDescent="0.25">
      <c r="A117" s="2"/>
      <c r="B117" s="2"/>
      <c r="C117" s="2"/>
      <c r="D117" s="2"/>
      <c r="E117" s="2"/>
      <c r="F117" s="37"/>
      <c r="G117" s="37"/>
      <c r="H117" s="43">
        <f t="shared" si="4"/>
        <v>0</v>
      </c>
      <c r="I117" s="2"/>
      <c r="J117" s="2"/>
      <c r="K117" s="2"/>
      <c r="L117" s="2"/>
      <c r="M117" s="2"/>
      <c r="N117" s="2"/>
    </row>
    <row r="118" spans="1:14" x14ac:dyDescent="0.25">
      <c r="A118" s="2"/>
      <c r="B118" s="2"/>
      <c r="C118" s="2"/>
      <c r="D118" s="2"/>
      <c r="E118" s="2"/>
      <c r="F118" s="37"/>
      <c r="G118" s="37"/>
      <c r="H118" s="43">
        <f t="shared" si="4"/>
        <v>0</v>
      </c>
      <c r="I118" s="2"/>
      <c r="J118" s="2"/>
      <c r="K118" s="2"/>
      <c r="L118" s="2"/>
      <c r="M118" s="2"/>
      <c r="N118" s="2"/>
    </row>
    <row r="119" spans="1:14" x14ac:dyDescent="0.25">
      <c r="A119" s="2"/>
      <c r="B119" s="2"/>
      <c r="C119" s="2"/>
      <c r="D119" s="2"/>
      <c r="E119" s="2"/>
      <c r="F119" s="37"/>
      <c r="G119" s="37"/>
      <c r="H119" s="43">
        <f t="shared" si="4"/>
        <v>0</v>
      </c>
      <c r="I119" s="2"/>
      <c r="J119" s="2"/>
      <c r="K119" s="2"/>
      <c r="L119" s="2"/>
      <c r="M119" s="2"/>
      <c r="N119" s="2"/>
    </row>
    <row r="120" spans="1:14" x14ac:dyDescent="0.25">
      <c r="A120" s="2"/>
      <c r="B120" s="2"/>
      <c r="C120" s="2"/>
      <c r="D120" s="2"/>
      <c r="E120" s="2"/>
      <c r="F120" s="37"/>
      <c r="G120" s="37"/>
      <c r="H120" s="43">
        <f t="shared" si="4"/>
        <v>0</v>
      </c>
      <c r="I120" s="2"/>
      <c r="J120" s="2"/>
      <c r="K120" s="2"/>
      <c r="L120" s="2"/>
      <c r="M120" s="2"/>
      <c r="N120" s="2"/>
    </row>
    <row r="121" spans="1:14" x14ac:dyDescent="0.25">
      <c r="A121" s="2"/>
      <c r="B121" s="2"/>
      <c r="C121" s="2"/>
      <c r="D121" s="2"/>
      <c r="E121" s="2"/>
      <c r="F121" s="37"/>
      <c r="G121" s="37"/>
      <c r="H121" s="43">
        <f t="shared" si="4"/>
        <v>0</v>
      </c>
      <c r="I121" s="2"/>
      <c r="J121" s="2"/>
      <c r="K121" s="2"/>
      <c r="L121" s="2"/>
      <c r="M121" s="2"/>
      <c r="N121" s="2"/>
    </row>
    <row r="122" spans="1:14" x14ac:dyDescent="0.25">
      <c r="A122" s="2"/>
      <c r="B122" s="2"/>
      <c r="C122" s="2"/>
      <c r="D122" s="2"/>
      <c r="E122" s="2"/>
      <c r="F122" s="37"/>
      <c r="G122" s="37"/>
      <c r="H122" s="43">
        <f t="shared" si="4"/>
        <v>0</v>
      </c>
      <c r="I122" s="2"/>
      <c r="J122" s="2"/>
      <c r="K122" s="2"/>
      <c r="L122" s="2"/>
      <c r="M122" s="2"/>
      <c r="N122" s="2"/>
    </row>
    <row r="123" spans="1:14" x14ac:dyDescent="0.25">
      <c r="A123" s="2"/>
      <c r="B123" s="2"/>
      <c r="C123" s="2"/>
      <c r="D123" s="2"/>
      <c r="E123" s="2"/>
      <c r="F123" s="37"/>
      <c r="G123" s="37"/>
      <c r="H123" s="43">
        <f t="shared" si="4"/>
        <v>0</v>
      </c>
      <c r="I123" s="2"/>
      <c r="J123" s="2"/>
      <c r="K123" s="2"/>
      <c r="L123" s="2"/>
      <c r="M123" s="2"/>
      <c r="N123" s="2"/>
    </row>
    <row r="124" spans="1:14" x14ac:dyDescent="0.25">
      <c r="A124" s="2"/>
      <c r="B124" s="2"/>
      <c r="C124" s="2"/>
      <c r="D124" s="2"/>
      <c r="E124" s="2"/>
      <c r="F124" s="37"/>
      <c r="G124" s="37"/>
      <c r="H124" s="43">
        <f t="shared" si="4"/>
        <v>0</v>
      </c>
      <c r="I124" s="2"/>
      <c r="J124" s="2"/>
      <c r="K124" s="2"/>
      <c r="L124" s="2"/>
      <c r="M124" s="2"/>
      <c r="N124" s="2"/>
    </row>
    <row r="125" spans="1:14" x14ac:dyDescent="0.25">
      <c r="A125" s="2"/>
      <c r="B125" s="2"/>
      <c r="C125" s="2"/>
      <c r="D125" s="2"/>
      <c r="E125" s="2"/>
      <c r="F125" s="37"/>
      <c r="G125" s="37"/>
      <c r="H125" s="43">
        <f t="shared" si="4"/>
        <v>0</v>
      </c>
      <c r="I125" s="2"/>
      <c r="J125" s="2"/>
      <c r="K125" s="2"/>
      <c r="L125" s="2"/>
      <c r="M125" s="2"/>
      <c r="N125" s="2"/>
    </row>
    <row r="126" spans="1:14" x14ac:dyDescent="0.25">
      <c r="A126" s="2"/>
      <c r="B126" s="2"/>
      <c r="C126" s="2"/>
      <c r="D126" s="2"/>
      <c r="E126" s="2"/>
      <c r="F126" s="37"/>
      <c r="G126" s="37"/>
      <c r="H126" s="43">
        <f t="shared" si="4"/>
        <v>0</v>
      </c>
      <c r="I126" s="2"/>
      <c r="J126" s="2"/>
      <c r="K126" s="2"/>
      <c r="L126" s="2"/>
      <c r="M126" s="2"/>
      <c r="N126" s="2"/>
    </row>
    <row r="127" spans="1:14" x14ac:dyDescent="0.25">
      <c r="A127" s="2"/>
      <c r="B127" s="2"/>
      <c r="C127" s="2"/>
      <c r="D127" s="2"/>
      <c r="E127" s="2"/>
      <c r="F127" s="37"/>
      <c r="G127" s="37"/>
      <c r="H127" s="43">
        <f t="shared" si="4"/>
        <v>0</v>
      </c>
      <c r="I127" s="2"/>
      <c r="J127" s="2"/>
      <c r="K127" s="2"/>
      <c r="L127" s="2"/>
      <c r="M127" s="2"/>
      <c r="N127" s="2"/>
    </row>
    <row r="128" spans="1:14" x14ac:dyDescent="0.25">
      <c r="A128" s="2"/>
      <c r="B128" s="2"/>
      <c r="C128" s="2"/>
      <c r="D128" s="2"/>
      <c r="E128" s="2"/>
      <c r="F128" s="37"/>
      <c r="G128" s="37"/>
      <c r="H128" s="43">
        <f t="shared" si="4"/>
        <v>0</v>
      </c>
      <c r="I128" s="2"/>
      <c r="J128" s="2"/>
      <c r="K128" s="2"/>
      <c r="L128" s="2"/>
      <c r="M128" s="2"/>
      <c r="N128" s="2"/>
    </row>
    <row r="129" spans="1:14" x14ac:dyDescent="0.25">
      <c r="A129" s="2"/>
      <c r="B129" s="2"/>
      <c r="C129" s="2"/>
      <c r="D129" s="2"/>
      <c r="E129" s="2"/>
      <c r="F129" s="37"/>
      <c r="G129" s="37"/>
      <c r="H129" s="43">
        <f t="shared" si="4"/>
        <v>0</v>
      </c>
      <c r="I129" s="2"/>
      <c r="J129" s="2"/>
      <c r="K129" s="2"/>
      <c r="L129" s="2"/>
      <c r="M129" s="2"/>
      <c r="N129" s="2"/>
    </row>
    <row r="130" spans="1:14" x14ac:dyDescent="0.25">
      <c r="A130" s="2"/>
      <c r="B130" s="2"/>
      <c r="C130" s="2"/>
      <c r="D130" s="2"/>
      <c r="E130" s="2"/>
      <c r="F130" s="37"/>
      <c r="G130" s="37"/>
      <c r="H130" s="43">
        <f t="shared" si="4"/>
        <v>0</v>
      </c>
      <c r="I130" s="2"/>
      <c r="J130" s="2"/>
      <c r="K130" s="2"/>
      <c r="L130" s="2"/>
      <c r="M130" s="2"/>
      <c r="N130" s="2"/>
    </row>
    <row r="131" spans="1:14" x14ac:dyDescent="0.25">
      <c r="A131" s="2"/>
      <c r="B131" s="2"/>
      <c r="C131" s="2"/>
      <c r="D131" s="2"/>
      <c r="E131" s="2"/>
      <c r="F131" s="37"/>
      <c r="G131" s="37"/>
      <c r="H131" s="43">
        <f t="shared" si="4"/>
        <v>0</v>
      </c>
      <c r="I131" s="2"/>
      <c r="J131" s="2"/>
      <c r="K131" s="2"/>
      <c r="L131" s="2"/>
      <c r="M131" s="2"/>
      <c r="N131" s="2"/>
    </row>
    <row r="132" spans="1:14" x14ac:dyDescent="0.25">
      <c r="A132" s="2"/>
      <c r="B132" s="2"/>
      <c r="C132" s="2"/>
      <c r="D132" s="2"/>
      <c r="E132" s="2"/>
      <c r="F132" s="37"/>
      <c r="G132" s="37"/>
      <c r="H132" s="43">
        <f t="shared" si="4"/>
        <v>0</v>
      </c>
      <c r="I132" s="2"/>
      <c r="J132" s="2"/>
      <c r="K132" s="2"/>
      <c r="L132" s="2"/>
      <c r="M132" s="2"/>
      <c r="N132" s="2"/>
    </row>
    <row r="133" spans="1:14" x14ac:dyDescent="0.25">
      <c r="A133" s="2"/>
      <c r="B133" s="2"/>
      <c r="C133" s="2"/>
      <c r="D133" s="2"/>
      <c r="E133" s="2"/>
      <c r="F133" s="37"/>
      <c r="G133" s="37"/>
      <c r="H133" s="43">
        <f t="shared" ref="H133:H140" si="5">NETWORKDAYS(F133,G133)</f>
        <v>0</v>
      </c>
      <c r="I133" s="2"/>
      <c r="J133" s="2"/>
      <c r="K133" s="2"/>
      <c r="L133" s="2"/>
      <c r="M133" s="2"/>
      <c r="N133" s="2"/>
    </row>
    <row r="134" spans="1:14" x14ac:dyDescent="0.25">
      <c r="A134" s="2"/>
      <c r="B134" s="2"/>
      <c r="C134" s="2"/>
      <c r="D134" s="2"/>
      <c r="E134" s="2"/>
      <c r="F134" s="37"/>
      <c r="G134" s="37"/>
      <c r="H134" s="43">
        <f t="shared" si="5"/>
        <v>0</v>
      </c>
      <c r="I134" s="2"/>
      <c r="J134" s="2"/>
      <c r="K134" s="2"/>
      <c r="L134" s="2"/>
      <c r="M134" s="2"/>
      <c r="N134" s="2"/>
    </row>
    <row r="135" spans="1:14" x14ac:dyDescent="0.25">
      <c r="A135" s="2"/>
      <c r="B135" s="2"/>
      <c r="C135" s="2"/>
      <c r="D135" s="2"/>
      <c r="E135" s="2"/>
      <c r="F135" s="37"/>
      <c r="G135" s="37"/>
      <c r="H135" s="43">
        <f t="shared" si="5"/>
        <v>0</v>
      </c>
      <c r="I135" s="2"/>
      <c r="J135" s="2"/>
      <c r="K135" s="2"/>
      <c r="L135" s="2"/>
      <c r="M135" s="2"/>
      <c r="N135" s="2"/>
    </row>
    <row r="136" spans="1:14" x14ac:dyDescent="0.25">
      <c r="A136" s="2"/>
      <c r="B136" s="2"/>
      <c r="C136" s="2"/>
      <c r="D136" s="2"/>
      <c r="E136" s="2"/>
      <c r="F136" s="37"/>
      <c r="G136" s="37"/>
      <c r="H136" s="43">
        <f t="shared" si="5"/>
        <v>0</v>
      </c>
      <c r="I136" s="2"/>
      <c r="J136" s="2"/>
      <c r="K136" s="2"/>
      <c r="L136" s="2"/>
      <c r="M136" s="2"/>
      <c r="N136" s="2"/>
    </row>
    <row r="137" spans="1:14" x14ac:dyDescent="0.25">
      <c r="A137" s="2"/>
      <c r="B137" s="2"/>
      <c r="C137" s="2"/>
      <c r="D137" s="2"/>
      <c r="E137" s="2"/>
      <c r="F137" s="37"/>
      <c r="G137" s="37"/>
      <c r="H137" s="43">
        <f t="shared" si="5"/>
        <v>0</v>
      </c>
      <c r="I137" s="2"/>
      <c r="J137" s="2"/>
      <c r="K137" s="2"/>
      <c r="L137" s="2"/>
      <c r="M137" s="2"/>
      <c r="N137" s="2"/>
    </row>
    <row r="138" spans="1:14" x14ac:dyDescent="0.25">
      <c r="A138" s="2"/>
      <c r="B138" s="2"/>
      <c r="C138" s="2"/>
      <c r="D138" s="2"/>
      <c r="E138" s="2"/>
      <c r="F138" s="37"/>
      <c r="G138" s="37"/>
      <c r="H138" s="43">
        <f t="shared" si="5"/>
        <v>0</v>
      </c>
      <c r="I138" s="2"/>
      <c r="J138" s="2"/>
      <c r="K138" s="2"/>
      <c r="L138" s="2"/>
      <c r="M138" s="2"/>
      <c r="N138" s="2"/>
    </row>
    <row r="139" spans="1:14" x14ac:dyDescent="0.25">
      <c r="A139" s="2"/>
      <c r="B139" s="2"/>
      <c r="C139" s="2"/>
      <c r="D139" s="2"/>
      <c r="E139" s="2"/>
      <c r="F139" s="37"/>
      <c r="G139" s="37"/>
      <c r="H139" s="43">
        <f t="shared" si="5"/>
        <v>0</v>
      </c>
      <c r="I139" s="2"/>
      <c r="J139" s="2"/>
      <c r="K139" s="2"/>
      <c r="L139" s="2"/>
      <c r="M139" s="2"/>
      <c r="N139" s="2"/>
    </row>
    <row r="140" spans="1:14" x14ac:dyDescent="0.25">
      <c r="A140" s="2"/>
      <c r="B140" s="2"/>
      <c r="C140" s="2"/>
      <c r="D140" s="2"/>
      <c r="E140" s="2"/>
      <c r="F140" s="37"/>
      <c r="G140" s="37"/>
      <c r="H140" s="43">
        <f t="shared" si="5"/>
        <v>0</v>
      </c>
      <c r="I140" s="2"/>
      <c r="J140" s="2"/>
      <c r="K140" s="2"/>
      <c r="L140" s="2"/>
      <c r="M140" s="2"/>
      <c r="N140" s="2"/>
    </row>
  </sheetData>
  <phoneticPr fontId="6" type="noConversion"/>
  <dataValidations count="5">
    <dataValidation type="list" allowBlank="1" showInputMessage="1" showErrorMessage="1" sqref="J4:J140" xr:uid="{0CBFA315-484E-49FE-ABD7-BE2E5D3647D2}">
      <formula1>"Critical,High,Medium,Low"</formula1>
    </dataValidation>
    <dataValidation type="list" sqref="L16 N8:N15 M4:M15 M16:N140" xr:uid="{E53A4115-2AEB-4151-A238-49DD257D4402}">
      <formula1>"TBC,Not Started,In Progress,Ready,Blocked,Complete,N/A"</formula1>
    </dataValidation>
    <dataValidation type="list" allowBlank="1" showInputMessage="1" showErrorMessage="1" sqref="I4:I140" xr:uid="{672FB5B4-BE71-4AC0-9635-A00C2F47801B}">
      <formula1>"10%,20%,30%,40%,50%,60%,70%,80%,90%,100%"</formula1>
    </dataValidation>
    <dataValidation type="list" allowBlank="1" showInputMessage="1" showErrorMessage="1" sqref="K4:K140" xr:uid="{82484191-739F-4CFA-A27C-3B5206962AAE}">
      <formula1>"Yes,No"</formula1>
    </dataValidation>
    <dataValidation type="list" allowBlank="1" showInputMessage="1" showErrorMessage="1" sqref="A4:A140" xr:uid="{EE0FBAAF-32D5-43B1-B098-136137F0006B}">
      <formula1>"Public Web,Secure Web"</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709B-D55A-4E82-BD96-1E548578F1A3}">
  <dimension ref="A1:N141"/>
  <sheetViews>
    <sheetView topLeftCell="A11" workbookViewId="0">
      <selection activeCell="E5" sqref="E5"/>
    </sheetView>
  </sheetViews>
  <sheetFormatPr defaultColWidth="38.7109375" defaultRowHeight="15" x14ac:dyDescent="0.25"/>
  <cols>
    <col min="1" max="1" width="20.42578125" customWidth="1"/>
    <col min="2" max="2" width="26.5703125" customWidth="1"/>
    <col min="3" max="3" width="25.140625" customWidth="1"/>
    <col min="4" max="4" width="24.5703125" customWidth="1"/>
    <col min="5" max="5" width="64.42578125" customWidth="1"/>
    <col min="6" max="7" width="21.2851562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22" t="s">
        <v>16</v>
      </c>
      <c r="B1" s="22" t="s">
        <v>20</v>
      </c>
    </row>
    <row r="2" spans="1:14" ht="21.75" x14ac:dyDescent="0.25">
      <c r="A2" s="22" t="s">
        <v>1</v>
      </c>
      <c r="B2" s="22" t="s">
        <v>39</v>
      </c>
    </row>
    <row r="3" spans="1:14" ht="60" x14ac:dyDescent="0.25">
      <c r="A3" s="23" t="s">
        <v>2</v>
      </c>
      <c r="B3" s="23" t="s">
        <v>3</v>
      </c>
      <c r="C3" s="24" t="s">
        <v>4</v>
      </c>
      <c r="D3" s="25" t="s">
        <v>5</v>
      </c>
      <c r="E3" s="23" t="s">
        <v>6</v>
      </c>
      <c r="F3" s="23" t="s">
        <v>7</v>
      </c>
      <c r="G3" s="23" t="s">
        <v>8</v>
      </c>
      <c r="H3" s="23" t="s">
        <v>9</v>
      </c>
      <c r="I3" s="23" t="s">
        <v>10</v>
      </c>
      <c r="J3" s="23" t="s">
        <v>11</v>
      </c>
      <c r="K3" s="26" t="s">
        <v>12</v>
      </c>
      <c r="L3" s="26" t="s">
        <v>13</v>
      </c>
      <c r="M3" s="25" t="s">
        <v>14</v>
      </c>
      <c r="N3" s="47" t="s">
        <v>15</v>
      </c>
    </row>
    <row r="4" spans="1:14" ht="30" x14ac:dyDescent="0.25">
      <c r="A4" s="2" t="s">
        <v>35</v>
      </c>
      <c r="B4" s="2" t="s">
        <v>24</v>
      </c>
      <c r="C4" s="2" t="s">
        <v>24</v>
      </c>
      <c r="D4" s="2" t="s">
        <v>24</v>
      </c>
      <c r="E4" s="2" t="s">
        <v>298</v>
      </c>
      <c r="F4" s="37" t="s">
        <v>41</v>
      </c>
      <c r="G4" s="37"/>
      <c r="H4" s="43">
        <v>10</v>
      </c>
      <c r="I4" s="39">
        <v>0.5</v>
      </c>
      <c r="J4" s="2" t="s">
        <v>26</v>
      </c>
      <c r="K4" s="2" t="s">
        <v>32</v>
      </c>
      <c r="L4" s="2" t="s">
        <v>33</v>
      </c>
      <c r="M4" s="2" t="s">
        <v>34</v>
      </c>
      <c r="N4" s="2"/>
    </row>
    <row r="5" spans="1:14" ht="30" x14ac:dyDescent="0.25">
      <c r="A5" s="2" t="s">
        <v>35</v>
      </c>
      <c r="B5" s="2" t="s">
        <v>24</v>
      </c>
      <c r="C5" s="2" t="s">
        <v>24</v>
      </c>
      <c r="D5" s="2" t="s">
        <v>24</v>
      </c>
      <c r="E5" s="2" t="s">
        <v>299</v>
      </c>
      <c r="F5" s="37">
        <v>46143</v>
      </c>
      <c r="G5" s="37"/>
      <c r="H5" s="43">
        <v>20</v>
      </c>
      <c r="I5" s="39">
        <v>0.5</v>
      </c>
      <c r="J5" s="2" t="s">
        <v>31</v>
      </c>
      <c r="K5" s="2" t="s">
        <v>32</v>
      </c>
      <c r="L5" s="2" t="s">
        <v>33</v>
      </c>
      <c r="M5" s="2" t="s">
        <v>36</v>
      </c>
      <c r="N5" s="2" t="s">
        <v>37</v>
      </c>
    </row>
    <row r="6" spans="1:14" ht="30" x14ac:dyDescent="0.25">
      <c r="A6" s="2" t="s">
        <v>38</v>
      </c>
      <c r="B6" s="2" t="s">
        <v>24</v>
      </c>
      <c r="C6" s="2" t="s">
        <v>24</v>
      </c>
      <c r="D6" s="2" t="s">
        <v>24</v>
      </c>
      <c r="E6" s="2" t="s">
        <v>299</v>
      </c>
      <c r="F6" s="37" t="s">
        <v>41</v>
      </c>
      <c r="G6" s="37"/>
      <c r="H6" s="43">
        <v>20</v>
      </c>
      <c r="I6" s="39">
        <v>0.5</v>
      </c>
      <c r="J6" s="2" t="s">
        <v>31</v>
      </c>
      <c r="K6" s="2" t="s">
        <v>32</v>
      </c>
      <c r="L6" s="2" t="s">
        <v>33</v>
      </c>
      <c r="M6" s="2" t="s">
        <v>29</v>
      </c>
      <c r="N6" s="2"/>
    </row>
    <row r="7" spans="1:14" ht="30" x14ac:dyDescent="0.25">
      <c r="A7" s="2" t="s">
        <v>35</v>
      </c>
      <c r="B7" s="2" t="s">
        <v>24</v>
      </c>
      <c r="C7" s="2" t="s">
        <v>24</v>
      </c>
      <c r="D7" s="2" t="s">
        <v>24</v>
      </c>
      <c r="E7" s="2" t="s">
        <v>300</v>
      </c>
      <c r="F7" s="37" t="s">
        <v>41</v>
      </c>
      <c r="G7" s="37"/>
      <c r="H7" s="43">
        <v>5</v>
      </c>
      <c r="I7" s="39">
        <v>0.5</v>
      </c>
      <c r="J7" s="2" t="s">
        <v>31</v>
      </c>
      <c r="K7" s="2" t="s">
        <v>32</v>
      </c>
      <c r="L7" s="2" t="s">
        <v>33</v>
      </c>
      <c r="M7" s="2" t="s">
        <v>29</v>
      </c>
      <c r="N7" s="2"/>
    </row>
    <row r="8" spans="1:14" ht="30" x14ac:dyDescent="0.25">
      <c r="A8" s="2" t="s">
        <v>35</v>
      </c>
      <c r="B8" s="2" t="s">
        <v>24</v>
      </c>
      <c r="C8" s="2" t="s">
        <v>24</v>
      </c>
      <c r="D8" s="2" t="s">
        <v>24</v>
      </c>
      <c r="E8" s="2" t="s">
        <v>301</v>
      </c>
      <c r="F8" s="37" t="s">
        <v>41</v>
      </c>
      <c r="G8" s="37"/>
      <c r="H8" s="43">
        <v>10</v>
      </c>
      <c r="I8" s="39">
        <v>0.5</v>
      </c>
      <c r="J8" s="2" t="s">
        <v>40</v>
      </c>
      <c r="K8" s="2" t="s">
        <v>32</v>
      </c>
      <c r="L8" s="2" t="s">
        <v>33</v>
      </c>
      <c r="M8" s="2" t="s">
        <v>29</v>
      </c>
      <c r="N8" s="2"/>
    </row>
    <row r="9" spans="1:14" ht="30" x14ac:dyDescent="0.25">
      <c r="A9" s="2" t="s">
        <v>35</v>
      </c>
      <c r="B9" s="2" t="s">
        <v>24</v>
      </c>
      <c r="C9" s="2" t="s">
        <v>24</v>
      </c>
      <c r="D9" s="2" t="s">
        <v>24</v>
      </c>
      <c r="E9" s="2" t="s">
        <v>302</v>
      </c>
      <c r="F9" s="37" t="s">
        <v>41</v>
      </c>
      <c r="G9" s="37"/>
      <c r="H9" s="43">
        <v>8</v>
      </c>
      <c r="I9" s="39">
        <v>0.5</v>
      </c>
      <c r="J9" s="2" t="s">
        <v>26</v>
      </c>
      <c r="K9" s="2" t="s">
        <v>32</v>
      </c>
      <c r="L9" s="2" t="s">
        <v>33</v>
      </c>
      <c r="M9" s="2" t="s">
        <v>29</v>
      </c>
      <c r="N9" s="2"/>
    </row>
    <row r="10" spans="1:14" ht="30" x14ac:dyDescent="0.25">
      <c r="A10" s="2" t="s">
        <v>35</v>
      </c>
      <c r="B10" s="2" t="s">
        <v>24</v>
      </c>
      <c r="C10" s="2" t="s">
        <v>24</v>
      </c>
      <c r="D10" s="2" t="s">
        <v>24</v>
      </c>
      <c r="E10" s="2" t="s">
        <v>303</v>
      </c>
      <c r="F10" s="37" t="s">
        <v>41</v>
      </c>
      <c r="G10" s="37"/>
      <c r="H10" s="43">
        <v>8</v>
      </c>
      <c r="I10" s="39">
        <v>0.5</v>
      </c>
      <c r="J10" s="2" t="s">
        <v>26</v>
      </c>
      <c r="K10" s="2" t="s">
        <v>32</v>
      </c>
      <c r="L10" s="2" t="s">
        <v>33</v>
      </c>
      <c r="M10" s="2" t="s">
        <v>29</v>
      </c>
      <c r="N10" s="2"/>
    </row>
    <row r="11" spans="1:14" ht="30" x14ac:dyDescent="0.25">
      <c r="A11" s="2" t="s">
        <v>35</v>
      </c>
      <c r="B11" s="2" t="s">
        <v>24</v>
      </c>
      <c r="C11" s="2" t="s">
        <v>24</v>
      </c>
      <c r="D11" s="2" t="s">
        <v>24</v>
      </c>
      <c r="E11" s="2" t="s">
        <v>304</v>
      </c>
      <c r="F11" s="37" t="s">
        <v>41</v>
      </c>
      <c r="G11" s="37"/>
      <c r="H11" s="43">
        <v>3</v>
      </c>
      <c r="I11" s="39">
        <v>0.5</v>
      </c>
      <c r="J11" s="2" t="s">
        <v>26</v>
      </c>
      <c r="K11" s="2" t="s">
        <v>32</v>
      </c>
      <c r="L11" s="2" t="s">
        <v>33</v>
      </c>
      <c r="M11" s="2" t="s">
        <v>29</v>
      </c>
      <c r="N11" s="2"/>
    </row>
    <row r="12" spans="1:14" ht="30" x14ac:dyDescent="0.25">
      <c r="A12" s="2" t="s">
        <v>35</v>
      </c>
      <c r="B12" s="2" t="s">
        <v>24</v>
      </c>
      <c r="C12" s="2" t="s">
        <v>24</v>
      </c>
      <c r="D12" s="2" t="s">
        <v>24</v>
      </c>
      <c r="E12" s="2" t="s">
        <v>305</v>
      </c>
      <c r="F12" s="37" t="s">
        <v>41</v>
      </c>
      <c r="G12" s="37"/>
      <c r="H12" s="43">
        <v>4</v>
      </c>
      <c r="I12" s="39">
        <v>0.5</v>
      </c>
      <c r="J12" s="2" t="s">
        <v>40</v>
      </c>
      <c r="K12" s="2" t="s">
        <v>32</v>
      </c>
      <c r="L12" s="2" t="s">
        <v>33</v>
      </c>
      <c r="M12" s="2" t="s">
        <v>29</v>
      </c>
      <c r="N12" s="2"/>
    </row>
    <row r="13" spans="1:14" ht="30" x14ac:dyDescent="0.25">
      <c r="A13" s="2" t="s">
        <v>35</v>
      </c>
      <c r="B13" s="2" t="s">
        <v>24</v>
      </c>
      <c r="C13" s="2" t="s">
        <v>24</v>
      </c>
      <c r="D13" s="2" t="s">
        <v>24</v>
      </c>
      <c r="E13" s="2" t="s">
        <v>306</v>
      </c>
      <c r="F13" s="37" t="s">
        <v>41</v>
      </c>
      <c r="G13" s="37"/>
      <c r="H13" s="43" t="e">
        <f t="shared" ref="H13:H69" si="0">NETWORKDAYS(F13,G13)</f>
        <v>#VALUE!</v>
      </c>
      <c r="I13" s="39">
        <v>0.5</v>
      </c>
      <c r="J13" s="2" t="s">
        <v>40</v>
      </c>
      <c r="K13" s="2" t="s">
        <v>32</v>
      </c>
      <c r="L13" s="2" t="s">
        <v>33</v>
      </c>
      <c r="M13" s="2" t="s">
        <v>29</v>
      </c>
      <c r="N13" s="2"/>
    </row>
    <row r="14" spans="1:14" ht="30" x14ac:dyDescent="0.25">
      <c r="A14" s="2" t="s">
        <v>35</v>
      </c>
      <c r="B14" s="2" t="s">
        <v>24</v>
      </c>
      <c r="C14" s="2" t="s">
        <v>24</v>
      </c>
      <c r="D14" s="2" t="s">
        <v>24</v>
      </c>
      <c r="E14" s="2" t="s">
        <v>307</v>
      </c>
      <c r="F14" s="37" t="s">
        <v>41</v>
      </c>
      <c r="G14" s="37"/>
      <c r="H14" s="43" t="e">
        <f t="shared" si="0"/>
        <v>#VALUE!</v>
      </c>
      <c r="I14" s="39">
        <v>0.5</v>
      </c>
      <c r="J14" s="2" t="s">
        <v>40</v>
      </c>
      <c r="K14" s="2" t="s">
        <v>32</v>
      </c>
      <c r="L14" s="2" t="s">
        <v>33</v>
      </c>
      <c r="M14" s="2" t="s">
        <v>29</v>
      </c>
      <c r="N14" s="2"/>
    </row>
    <row r="15" spans="1:14" ht="30" x14ac:dyDescent="0.25">
      <c r="A15" s="2" t="s">
        <v>35</v>
      </c>
      <c r="B15" s="2" t="s">
        <v>24</v>
      </c>
      <c r="C15" s="2" t="s">
        <v>24</v>
      </c>
      <c r="D15" s="2" t="s">
        <v>24</v>
      </c>
      <c r="E15" s="2" t="s">
        <v>312</v>
      </c>
      <c r="F15" s="37" t="s">
        <v>41</v>
      </c>
      <c r="G15" s="37"/>
      <c r="H15" s="43" t="e">
        <f t="shared" si="0"/>
        <v>#VALUE!</v>
      </c>
      <c r="I15" s="39">
        <v>0.5</v>
      </c>
      <c r="J15" s="2" t="s">
        <v>40</v>
      </c>
      <c r="K15" s="2" t="s">
        <v>32</v>
      </c>
      <c r="L15" s="2" t="s">
        <v>33</v>
      </c>
      <c r="M15" s="2" t="s">
        <v>29</v>
      </c>
      <c r="N15" s="2"/>
    </row>
    <row r="16" spans="1:14" ht="30" x14ac:dyDescent="0.25">
      <c r="A16" s="2" t="s">
        <v>35</v>
      </c>
      <c r="B16" s="2" t="s">
        <v>24</v>
      </c>
      <c r="C16" s="2" t="s">
        <v>24</v>
      </c>
      <c r="D16" s="2" t="s">
        <v>24</v>
      </c>
      <c r="E16" s="2" t="s">
        <v>313</v>
      </c>
      <c r="F16" s="37" t="s">
        <v>41</v>
      </c>
      <c r="G16" s="37"/>
      <c r="H16" s="43" t="e">
        <f t="shared" si="0"/>
        <v>#VALUE!</v>
      </c>
      <c r="I16" s="39">
        <v>0.5</v>
      </c>
      <c r="J16" s="2" t="s">
        <v>40</v>
      </c>
      <c r="K16" s="2" t="s">
        <v>32</v>
      </c>
      <c r="L16" s="2" t="s">
        <v>33</v>
      </c>
      <c r="M16" s="2" t="s">
        <v>29</v>
      </c>
      <c r="N16" s="2"/>
    </row>
    <row r="17" spans="1:14" ht="30" x14ac:dyDescent="0.25">
      <c r="A17" s="2" t="s">
        <v>35</v>
      </c>
      <c r="B17" s="2" t="s">
        <v>24</v>
      </c>
      <c r="C17" s="2" t="s">
        <v>24</v>
      </c>
      <c r="D17" s="2" t="s">
        <v>24</v>
      </c>
      <c r="E17" s="2" t="s">
        <v>315</v>
      </c>
      <c r="F17" s="37" t="s">
        <v>41</v>
      </c>
      <c r="G17" s="37"/>
      <c r="H17" s="43" t="e">
        <f t="shared" si="0"/>
        <v>#VALUE!</v>
      </c>
      <c r="I17" s="39">
        <v>0.5</v>
      </c>
      <c r="J17" s="2" t="s">
        <v>40</v>
      </c>
      <c r="K17" s="2" t="s">
        <v>32</v>
      </c>
      <c r="L17" s="2" t="s">
        <v>33</v>
      </c>
      <c r="M17" s="2" t="s">
        <v>29</v>
      </c>
      <c r="N17" s="2"/>
    </row>
    <row r="18" spans="1:14" ht="30" x14ac:dyDescent="0.25">
      <c r="A18" s="2" t="s">
        <v>35</v>
      </c>
      <c r="B18" s="2" t="s">
        <v>24</v>
      </c>
      <c r="C18" s="2" t="s">
        <v>24</v>
      </c>
      <c r="D18" s="2" t="s">
        <v>24</v>
      </c>
      <c r="E18" s="2" t="s">
        <v>316</v>
      </c>
      <c r="F18" s="37" t="s">
        <v>41</v>
      </c>
      <c r="G18" s="37"/>
      <c r="H18" s="43" t="e">
        <f t="shared" si="0"/>
        <v>#VALUE!</v>
      </c>
      <c r="I18" s="39">
        <v>0.5</v>
      </c>
      <c r="J18" s="2" t="s">
        <v>40</v>
      </c>
      <c r="K18" s="2" t="s">
        <v>32</v>
      </c>
      <c r="L18" s="2" t="s">
        <v>33</v>
      </c>
      <c r="M18" s="2" t="s">
        <v>29</v>
      </c>
      <c r="N18" s="2"/>
    </row>
    <row r="19" spans="1:14" ht="30" x14ac:dyDescent="0.25">
      <c r="A19" s="2" t="s">
        <v>35</v>
      </c>
      <c r="B19" s="2" t="s">
        <v>24</v>
      </c>
      <c r="C19" s="2" t="s">
        <v>24</v>
      </c>
      <c r="D19" s="2" t="s">
        <v>24</v>
      </c>
      <c r="E19" s="2" t="s">
        <v>317</v>
      </c>
      <c r="F19" s="37" t="s">
        <v>41</v>
      </c>
      <c r="G19" s="37"/>
      <c r="H19" s="43" t="e">
        <f t="shared" si="0"/>
        <v>#VALUE!</v>
      </c>
      <c r="I19" s="39">
        <v>0.5</v>
      </c>
      <c r="J19" s="2" t="s">
        <v>40</v>
      </c>
      <c r="K19" s="2" t="s">
        <v>32</v>
      </c>
      <c r="L19" s="2" t="s">
        <v>33</v>
      </c>
      <c r="M19" s="2" t="s">
        <v>29</v>
      </c>
      <c r="N19" s="2"/>
    </row>
    <row r="20" spans="1:14" ht="30" x14ac:dyDescent="0.25">
      <c r="A20" s="2" t="s">
        <v>35</v>
      </c>
      <c r="B20" s="2" t="s">
        <v>24</v>
      </c>
      <c r="C20" s="2" t="s">
        <v>24</v>
      </c>
      <c r="D20" s="2" t="s">
        <v>24</v>
      </c>
      <c r="E20" s="2" t="s">
        <v>310</v>
      </c>
      <c r="F20" s="37" t="s">
        <v>41</v>
      </c>
      <c r="G20" s="37"/>
      <c r="H20" s="43" t="e">
        <f t="shared" si="0"/>
        <v>#VALUE!</v>
      </c>
      <c r="I20" s="39">
        <v>0.5</v>
      </c>
      <c r="J20" s="2" t="s">
        <v>40</v>
      </c>
      <c r="K20" s="2" t="s">
        <v>32</v>
      </c>
      <c r="L20" s="2" t="s">
        <v>33</v>
      </c>
      <c r="M20" s="2" t="s">
        <v>29</v>
      </c>
      <c r="N20" s="2"/>
    </row>
    <row r="21" spans="1:14" ht="30" x14ac:dyDescent="0.25">
      <c r="A21" s="2" t="s">
        <v>38</v>
      </c>
      <c r="B21" s="2" t="s">
        <v>24</v>
      </c>
      <c r="C21" s="2" t="s">
        <v>24</v>
      </c>
      <c r="D21" s="2" t="s">
        <v>24</v>
      </c>
      <c r="E21" s="2" t="s">
        <v>310</v>
      </c>
      <c r="F21" s="37" t="s">
        <v>41</v>
      </c>
      <c r="G21" s="37"/>
      <c r="H21" s="43" t="e">
        <f t="shared" si="0"/>
        <v>#VALUE!</v>
      </c>
      <c r="I21" s="39">
        <v>0.5</v>
      </c>
      <c r="J21" s="2" t="s">
        <v>40</v>
      </c>
      <c r="K21" s="2" t="s">
        <v>32</v>
      </c>
      <c r="L21" s="2" t="s">
        <v>33</v>
      </c>
      <c r="M21" s="2" t="s">
        <v>29</v>
      </c>
      <c r="N21" s="2"/>
    </row>
    <row r="22" spans="1:14" ht="30" x14ac:dyDescent="0.25">
      <c r="A22" s="2" t="s">
        <v>35</v>
      </c>
      <c r="B22" s="2" t="s">
        <v>24</v>
      </c>
      <c r="C22" s="2" t="s">
        <v>24</v>
      </c>
      <c r="D22" s="2" t="s">
        <v>24</v>
      </c>
      <c r="E22" s="2" t="s">
        <v>311</v>
      </c>
      <c r="F22" s="37" t="s">
        <v>41</v>
      </c>
      <c r="G22" s="37"/>
      <c r="H22" s="43" t="e">
        <f t="shared" si="0"/>
        <v>#VALUE!</v>
      </c>
      <c r="I22" s="39">
        <v>0.5</v>
      </c>
      <c r="J22" s="2" t="s">
        <v>40</v>
      </c>
      <c r="K22" s="2" t="s">
        <v>32</v>
      </c>
      <c r="L22" s="2" t="s">
        <v>33</v>
      </c>
      <c r="M22" s="2"/>
      <c r="N22" s="2"/>
    </row>
    <row r="23" spans="1:14" ht="30" x14ac:dyDescent="0.25">
      <c r="A23" s="2" t="s">
        <v>38</v>
      </c>
      <c r="B23" s="2" t="s">
        <v>24</v>
      </c>
      <c r="C23" s="2" t="s">
        <v>24</v>
      </c>
      <c r="D23" s="2" t="s">
        <v>24</v>
      </c>
      <c r="E23" s="2" t="s">
        <v>311</v>
      </c>
      <c r="F23" s="37" t="s">
        <v>41</v>
      </c>
      <c r="G23" s="37"/>
      <c r="H23" s="43" t="e">
        <f t="shared" si="0"/>
        <v>#VALUE!</v>
      </c>
      <c r="I23" s="39">
        <v>0.5</v>
      </c>
      <c r="J23" s="2" t="s">
        <v>40</v>
      </c>
      <c r="K23" s="2" t="s">
        <v>32</v>
      </c>
      <c r="L23" s="2" t="s">
        <v>33</v>
      </c>
      <c r="M23" s="2"/>
      <c r="N23" s="2"/>
    </row>
    <row r="24" spans="1:14" x14ac:dyDescent="0.25">
      <c r="A24" s="2"/>
      <c r="B24" s="2"/>
      <c r="C24" s="2"/>
      <c r="D24" s="2"/>
      <c r="E24" s="2"/>
      <c r="F24" s="37"/>
      <c r="G24" s="37"/>
      <c r="H24" s="43">
        <f t="shared" si="0"/>
        <v>0</v>
      </c>
      <c r="I24" s="2"/>
      <c r="J24" s="2"/>
      <c r="K24" s="2"/>
      <c r="L24" s="2"/>
      <c r="M24" s="2"/>
      <c r="N24" s="2"/>
    </row>
    <row r="25" spans="1:14" x14ac:dyDescent="0.25">
      <c r="A25" s="2"/>
      <c r="B25" s="2"/>
      <c r="C25" s="2"/>
      <c r="D25" s="2"/>
      <c r="E25" s="2"/>
      <c r="F25" s="37"/>
      <c r="G25" s="37"/>
      <c r="H25" s="43">
        <f t="shared" si="0"/>
        <v>0</v>
      </c>
      <c r="I25" s="2"/>
      <c r="J25" s="2"/>
      <c r="K25" s="2"/>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si="0"/>
        <v>0</v>
      </c>
      <c r="I69" s="2"/>
      <c r="J69" s="2"/>
      <c r="K69" s="2"/>
      <c r="L69" s="2"/>
      <c r="M69" s="2"/>
      <c r="N69" s="2"/>
    </row>
    <row r="70" spans="1:14" x14ac:dyDescent="0.25">
      <c r="A70" s="2"/>
      <c r="B70" s="2"/>
      <c r="C70" s="2"/>
      <c r="D70" s="2"/>
      <c r="E70" s="2"/>
      <c r="F70" s="37"/>
      <c r="G70" s="37"/>
      <c r="H70" s="43">
        <f t="shared" ref="H70:H133" si="1">NETWORKDAYS(F70,G70)</f>
        <v>0</v>
      </c>
      <c r="I70" s="2"/>
      <c r="J70" s="2"/>
      <c r="K70" s="2"/>
      <c r="L70" s="2"/>
      <c r="M70" s="2"/>
      <c r="N70" s="2"/>
    </row>
    <row r="71" spans="1:14" x14ac:dyDescent="0.25">
      <c r="A71" s="2"/>
      <c r="B71" s="2"/>
      <c r="C71" s="2"/>
      <c r="D71" s="2"/>
      <c r="E71" s="2"/>
      <c r="F71" s="37"/>
      <c r="G71" s="37"/>
      <c r="H71" s="43">
        <f t="shared" si="1"/>
        <v>0</v>
      </c>
      <c r="I71" s="2"/>
      <c r="J71" s="2"/>
      <c r="K71" s="2"/>
      <c r="L71" s="2"/>
      <c r="M71" s="2"/>
      <c r="N71" s="2"/>
    </row>
    <row r="72" spans="1:14" x14ac:dyDescent="0.25">
      <c r="A72" s="2"/>
      <c r="B72" s="2"/>
      <c r="C72" s="2"/>
      <c r="D72" s="2"/>
      <c r="E72" s="2"/>
      <c r="F72" s="37"/>
      <c r="G72" s="37"/>
      <c r="H72" s="43">
        <f t="shared" si="1"/>
        <v>0</v>
      </c>
      <c r="I72" s="2"/>
      <c r="J72" s="2"/>
      <c r="K72" s="2"/>
      <c r="L72" s="2"/>
      <c r="M72" s="2"/>
      <c r="N72" s="2"/>
    </row>
    <row r="73" spans="1:14" x14ac:dyDescent="0.25">
      <c r="A73" s="2"/>
      <c r="B73" s="2"/>
      <c r="C73" s="2"/>
      <c r="D73" s="2"/>
      <c r="E73" s="2"/>
      <c r="F73" s="37"/>
      <c r="G73" s="37"/>
      <c r="H73" s="43">
        <f t="shared" si="1"/>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si="1"/>
        <v>0</v>
      </c>
      <c r="I133" s="2"/>
      <c r="J133" s="2"/>
      <c r="K133" s="2"/>
      <c r="L133" s="2"/>
      <c r="M133" s="2"/>
      <c r="N133" s="2"/>
    </row>
    <row r="134" spans="1:14" x14ac:dyDescent="0.25">
      <c r="A134" s="2"/>
      <c r="B134" s="2"/>
      <c r="C134" s="2"/>
      <c r="D134" s="2"/>
      <c r="E134" s="2"/>
      <c r="F134" s="37"/>
      <c r="G134" s="37"/>
      <c r="H134" s="43">
        <f t="shared" ref="H134:H141" si="2">NETWORKDAYS(F134,G134)</f>
        <v>0</v>
      </c>
      <c r="I134" s="2"/>
      <c r="J134" s="2"/>
      <c r="K134" s="2"/>
      <c r="L134" s="2"/>
      <c r="M134" s="2"/>
      <c r="N134" s="2"/>
    </row>
    <row r="135" spans="1:14" x14ac:dyDescent="0.25">
      <c r="A135" s="2"/>
      <c r="B135" s="2"/>
      <c r="C135" s="2"/>
      <c r="D135" s="2"/>
      <c r="E135" s="2"/>
      <c r="F135" s="37"/>
      <c r="G135" s="37"/>
      <c r="H135" s="43">
        <f t="shared" si="2"/>
        <v>0</v>
      </c>
      <c r="I135" s="2"/>
      <c r="J135" s="2"/>
      <c r="K135" s="2"/>
      <c r="L135" s="2"/>
      <c r="M135" s="2"/>
      <c r="N135" s="2"/>
    </row>
    <row r="136" spans="1:14" x14ac:dyDescent="0.25">
      <c r="A136" s="2"/>
      <c r="B136" s="2"/>
      <c r="C136" s="2"/>
      <c r="D136" s="2"/>
      <c r="E136" s="2"/>
      <c r="F136" s="37"/>
      <c r="G136" s="37"/>
      <c r="H136" s="43">
        <f t="shared" si="2"/>
        <v>0</v>
      </c>
      <c r="I136" s="2"/>
      <c r="J136" s="2"/>
      <c r="K136" s="2"/>
      <c r="L136" s="2"/>
      <c r="M136" s="2"/>
      <c r="N136" s="2"/>
    </row>
    <row r="137" spans="1:14" x14ac:dyDescent="0.25">
      <c r="A137" s="2"/>
      <c r="B137" s="2"/>
      <c r="C137" s="2"/>
      <c r="D137" s="2"/>
      <c r="E137" s="2"/>
      <c r="F137" s="37"/>
      <c r="G137" s="37"/>
      <c r="H137" s="43">
        <f t="shared" si="2"/>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row r="139" spans="1:14" x14ac:dyDescent="0.25">
      <c r="A139" s="2"/>
      <c r="B139" s="2"/>
      <c r="C139" s="2"/>
      <c r="D139" s="2"/>
      <c r="E139" s="2"/>
      <c r="F139" s="37"/>
      <c r="G139" s="37"/>
      <c r="H139" s="43">
        <f t="shared" si="2"/>
        <v>0</v>
      </c>
      <c r="I139" s="2"/>
      <c r="J139" s="2"/>
      <c r="K139" s="2"/>
      <c r="L139" s="2"/>
      <c r="M139" s="2"/>
      <c r="N139" s="2"/>
    </row>
    <row r="140" spans="1:14" x14ac:dyDescent="0.25">
      <c r="A140" s="2"/>
      <c r="B140" s="2"/>
      <c r="C140" s="2"/>
      <c r="D140" s="2"/>
      <c r="E140" s="2"/>
      <c r="F140" s="37"/>
      <c r="G140" s="37"/>
      <c r="H140" s="43">
        <f t="shared" si="2"/>
        <v>0</v>
      </c>
      <c r="I140" s="2"/>
      <c r="J140" s="2"/>
      <c r="K140" s="2"/>
      <c r="L140" s="2"/>
      <c r="M140" s="2"/>
      <c r="N140" s="2"/>
    </row>
    <row r="141" spans="1:14" x14ac:dyDescent="0.25">
      <c r="A141" s="2"/>
      <c r="B141" s="2"/>
      <c r="C141" s="2"/>
      <c r="D141" s="2"/>
      <c r="E141" s="2"/>
      <c r="F141" s="37"/>
      <c r="G141" s="37"/>
      <c r="H141" s="43">
        <f t="shared" si="2"/>
        <v>0</v>
      </c>
      <c r="I141" s="2"/>
      <c r="J141" s="2"/>
      <c r="K141" s="2"/>
      <c r="L141" s="2"/>
      <c r="M141" s="2"/>
      <c r="N141" s="2"/>
    </row>
  </sheetData>
  <dataValidations count="5">
    <dataValidation type="list" allowBlank="1" showInputMessage="1" showErrorMessage="1" sqref="J4:J141" xr:uid="{E76834F7-F098-42A9-9E78-DF302D2BCBCC}">
      <formula1>"Critical,High,Medium,Low"</formula1>
    </dataValidation>
    <dataValidation type="list" sqref="M4:N141" xr:uid="{FF5F7C4A-F071-474A-9F5C-04F52756CD8C}">
      <formula1>"TBC,Not Started,In Progress,Ready,Blocked,Complete,N/A"</formula1>
    </dataValidation>
    <dataValidation type="list" allowBlank="1" showInputMessage="1" showErrorMessage="1" sqref="I4:I141" xr:uid="{4373A357-F142-4659-A1DC-20F6FDA1BFEB}">
      <formula1>"10%,20%,30%,40%,50%,60%,70%,80%,90%,100%"</formula1>
    </dataValidation>
    <dataValidation type="list" allowBlank="1" showInputMessage="1" showErrorMessage="1" sqref="K4:K141" xr:uid="{9D43F849-A9A9-48B9-BCA3-A283FF245027}">
      <formula1>"Yes,No"</formula1>
    </dataValidation>
    <dataValidation type="list" allowBlank="1" showInputMessage="1" showErrorMessage="1" sqref="A4:A141" xr:uid="{1BF36155-AF19-4962-A9A6-8557AF6DB173}">
      <formula1>"Public Web,Secure Web"</formula1>
    </dataValidation>
  </dataValidation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8DE4-348A-448F-AD28-73A537B728C2}">
  <dimension ref="A1:N144"/>
  <sheetViews>
    <sheetView topLeftCell="A13" workbookViewId="0">
      <selection activeCell="C34" sqref="C34:C37"/>
    </sheetView>
  </sheetViews>
  <sheetFormatPr defaultColWidth="38.7109375" defaultRowHeight="15" x14ac:dyDescent="0.25"/>
  <cols>
    <col min="1" max="1" width="20.42578125" customWidth="1"/>
    <col min="2" max="2" width="28.140625" customWidth="1"/>
    <col min="3" max="3" width="26.7109375" customWidth="1"/>
    <col min="4" max="4" width="25.7109375" customWidth="1"/>
    <col min="5" max="5" width="54.28515625" customWidth="1"/>
    <col min="6" max="6" width="26.85546875" customWidth="1"/>
    <col min="7" max="7" width="20.42578125" customWidth="1"/>
    <col min="8" max="8" width="16" customWidth="1"/>
    <col min="9" max="9" width="23.42578125" customWidth="1"/>
    <col min="10" max="10" width="14.42578125" customWidth="1"/>
    <col min="11" max="11" width="33.7109375" customWidth="1"/>
    <col min="12" max="12" width="33.85546875" customWidth="1"/>
    <col min="13" max="13" width="18.28515625" customWidth="1"/>
    <col min="14" max="14" width="81.7109375" bestFit="1" customWidth="1"/>
  </cols>
  <sheetData>
    <row r="1" spans="1:14" ht="21.75" x14ac:dyDescent="0.25">
      <c r="A1" s="27" t="s">
        <v>16</v>
      </c>
      <c r="B1" s="27" t="s">
        <v>209</v>
      </c>
    </row>
    <row r="2" spans="1:14" ht="21.75" x14ac:dyDescent="0.25">
      <c r="A2" s="27" t="s">
        <v>1</v>
      </c>
      <c r="B2" s="27"/>
    </row>
    <row r="3" spans="1:14" ht="60" x14ac:dyDescent="0.25">
      <c r="A3" s="28" t="s">
        <v>2</v>
      </c>
      <c r="B3" s="28" t="s">
        <v>3</v>
      </c>
      <c r="C3" s="29" t="s">
        <v>4</v>
      </c>
      <c r="D3" s="30" t="s">
        <v>5</v>
      </c>
      <c r="E3" s="28" t="s">
        <v>6</v>
      </c>
      <c r="F3" s="28" t="s">
        <v>7</v>
      </c>
      <c r="G3" s="28" t="s">
        <v>8</v>
      </c>
      <c r="H3" s="28" t="s">
        <v>9</v>
      </c>
      <c r="I3" s="28" t="s">
        <v>10</v>
      </c>
      <c r="J3" s="28" t="s">
        <v>11</v>
      </c>
      <c r="K3" s="31" t="s">
        <v>12</v>
      </c>
      <c r="L3" s="31" t="s">
        <v>13</v>
      </c>
      <c r="M3" s="30" t="s">
        <v>266</v>
      </c>
      <c r="N3" s="46" t="s">
        <v>15</v>
      </c>
    </row>
    <row r="4" spans="1:14" x14ac:dyDescent="0.25">
      <c r="A4" s="2" t="s">
        <v>35</v>
      </c>
      <c r="B4" s="2" t="s">
        <v>82</v>
      </c>
      <c r="C4" s="2" t="s">
        <v>24</v>
      </c>
      <c r="D4" s="2" t="s">
        <v>148</v>
      </c>
      <c r="E4" s="2" t="s">
        <v>261</v>
      </c>
      <c r="F4" s="37">
        <v>46181</v>
      </c>
      <c r="G4" s="37">
        <v>46185</v>
      </c>
      <c r="H4" s="43">
        <f>NETWORKDAYS(F4,G4)</f>
        <v>5</v>
      </c>
      <c r="I4" s="39">
        <v>0.7</v>
      </c>
      <c r="J4" s="2" t="s">
        <v>26</v>
      </c>
      <c r="K4" s="2" t="s">
        <v>32</v>
      </c>
      <c r="L4" s="2" t="s">
        <v>265</v>
      </c>
      <c r="M4" s="2" t="s">
        <v>36</v>
      </c>
      <c r="N4" s="2" t="s">
        <v>267</v>
      </c>
    </row>
    <row r="5" spans="1:14" ht="30" x14ac:dyDescent="0.25">
      <c r="A5" s="2" t="s">
        <v>35</v>
      </c>
      <c r="B5" s="2" t="s">
        <v>360</v>
      </c>
      <c r="C5" s="2" t="s">
        <v>102</v>
      </c>
      <c r="D5" s="2"/>
      <c r="E5" s="2" t="s">
        <v>358</v>
      </c>
      <c r="F5" s="37">
        <v>46188</v>
      </c>
      <c r="G5" s="37">
        <v>46192</v>
      </c>
      <c r="H5" s="43">
        <v>5</v>
      </c>
      <c r="I5" s="39">
        <v>0.9</v>
      </c>
      <c r="J5" s="2" t="s">
        <v>31</v>
      </c>
      <c r="K5" s="2" t="s">
        <v>27</v>
      </c>
      <c r="L5" s="2"/>
      <c r="M5" s="2" t="s">
        <v>29</v>
      </c>
      <c r="N5" s="2" t="s">
        <v>359</v>
      </c>
    </row>
    <row r="6" spans="1:14" ht="30" x14ac:dyDescent="0.25">
      <c r="A6" s="2" t="s">
        <v>35</v>
      </c>
      <c r="B6" s="2" t="s">
        <v>360</v>
      </c>
      <c r="C6" s="2" t="s">
        <v>102</v>
      </c>
      <c r="D6" s="2"/>
      <c r="E6" s="2" t="s">
        <v>361</v>
      </c>
      <c r="F6" s="37">
        <v>46196</v>
      </c>
      <c r="G6" s="37">
        <v>46203</v>
      </c>
      <c r="H6" s="43">
        <v>6</v>
      </c>
      <c r="I6" s="39">
        <v>0.7</v>
      </c>
      <c r="J6" s="2" t="s">
        <v>31</v>
      </c>
      <c r="K6" s="2" t="s">
        <v>27</v>
      </c>
      <c r="L6" s="2"/>
      <c r="M6" s="2" t="s">
        <v>29</v>
      </c>
      <c r="N6" s="2" t="s">
        <v>362</v>
      </c>
    </row>
    <row r="7" spans="1:14" x14ac:dyDescent="0.25">
      <c r="A7" s="2" t="s">
        <v>35</v>
      </c>
      <c r="B7" s="2" t="s">
        <v>85</v>
      </c>
      <c r="C7" s="2" t="s">
        <v>85</v>
      </c>
      <c r="D7" s="2"/>
      <c r="E7" s="2" t="s">
        <v>363</v>
      </c>
      <c r="F7" s="37">
        <v>46188</v>
      </c>
      <c r="G7" s="37">
        <v>46192</v>
      </c>
      <c r="H7" s="43">
        <v>5</v>
      </c>
      <c r="I7" s="39">
        <v>0.7</v>
      </c>
      <c r="J7" s="2" t="s">
        <v>26</v>
      </c>
      <c r="K7" s="2" t="s">
        <v>27</v>
      </c>
      <c r="L7" s="2"/>
      <c r="M7" s="2" t="s">
        <v>29</v>
      </c>
      <c r="N7" s="2"/>
    </row>
    <row r="8" spans="1:14" x14ac:dyDescent="0.25">
      <c r="A8" s="2" t="s">
        <v>38</v>
      </c>
      <c r="B8" s="2" t="s">
        <v>85</v>
      </c>
      <c r="C8" s="2" t="s">
        <v>85</v>
      </c>
      <c r="D8" s="2"/>
      <c r="E8" s="2" t="s">
        <v>363</v>
      </c>
      <c r="F8" s="37">
        <v>46195</v>
      </c>
      <c r="G8" s="37">
        <v>46202</v>
      </c>
      <c r="H8" s="43">
        <v>5</v>
      </c>
      <c r="I8" s="39">
        <v>0.7</v>
      </c>
      <c r="J8" s="2" t="s">
        <v>26</v>
      </c>
      <c r="K8" s="2" t="s">
        <v>27</v>
      </c>
      <c r="L8" s="2" t="s">
        <v>85</v>
      </c>
      <c r="M8" s="2" t="s">
        <v>29</v>
      </c>
      <c r="N8" s="2"/>
    </row>
    <row r="9" spans="1:14" x14ac:dyDescent="0.25">
      <c r="A9" s="2" t="s">
        <v>35</v>
      </c>
      <c r="B9" s="2" t="s">
        <v>85</v>
      </c>
      <c r="C9" s="2" t="s">
        <v>85</v>
      </c>
      <c r="D9" s="2"/>
      <c r="E9" s="2" t="s">
        <v>364</v>
      </c>
      <c r="F9" s="37">
        <v>46188</v>
      </c>
      <c r="G9" s="37">
        <v>46192</v>
      </c>
      <c r="H9" s="43">
        <v>5</v>
      </c>
      <c r="I9" s="39">
        <v>0.7</v>
      </c>
      <c r="J9" s="2" t="s">
        <v>26</v>
      </c>
      <c r="K9" s="2" t="s">
        <v>27</v>
      </c>
      <c r="L9" s="2" t="s">
        <v>85</v>
      </c>
      <c r="M9" s="2" t="s">
        <v>29</v>
      </c>
      <c r="N9" s="2"/>
    </row>
    <row r="10" spans="1:14" x14ac:dyDescent="0.25">
      <c r="A10" s="2" t="s">
        <v>35</v>
      </c>
      <c r="B10" s="2" t="s">
        <v>85</v>
      </c>
      <c r="C10" s="2" t="s">
        <v>85</v>
      </c>
      <c r="D10" s="2"/>
      <c r="E10" s="2" t="s">
        <v>365</v>
      </c>
      <c r="F10" s="37">
        <v>46195</v>
      </c>
      <c r="G10" s="37">
        <v>46202</v>
      </c>
      <c r="H10" s="43">
        <v>5</v>
      </c>
      <c r="I10" s="39">
        <v>0.6</v>
      </c>
      <c r="J10" s="2" t="s">
        <v>26</v>
      </c>
      <c r="K10" s="2" t="s">
        <v>27</v>
      </c>
      <c r="L10" s="2" t="s">
        <v>85</v>
      </c>
      <c r="M10" s="2" t="s">
        <v>29</v>
      </c>
      <c r="N10" s="2"/>
    </row>
    <row r="11" spans="1:14" x14ac:dyDescent="0.25">
      <c r="A11" s="2" t="s">
        <v>38</v>
      </c>
      <c r="B11" s="2" t="s">
        <v>85</v>
      </c>
      <c r="C11" s="2" t="s">
        <v>85</v>
      </c>
      <c r="D11" s="2"/>
      <c r="E11" s="2" t="s">
        <v>364</v>
      </c>
      <c r="F11" s="37">
        <v>46195</v>
      </c>
      <c r="G11" s="37">
        <v>46202</v>
      </c>
      <c r="H11" s="43">
        <v>5</v>
      </c>
      <c r="I11" s="39">
        <v>0.7</v>
      </c>
      <c r="J11" s="2" t="s">
        <v>26</v>
      </c>
      <c r="K11" s="2" t="s">
        <v>27</v>
      </c>
      <c r="L11" s="2" t="s">
        <v>85</v>
      </c>
      <c r="M11" s="2" t="s">
        <v>29</v>
      </c>
      <c r="N11" s="2"/>
    </row>
    <row r="12" spans="1:14" x14ac:dyDescent="0.25">
      <c r="A12" s="2" t="s">
        <v>38</v>
      </c>
      <c r="B12" s="2" t="s">
        <v>85</v>
      </c>
      <c r="C12" s="2" t="s">
        <v>85</v>
      </c>
      <c r="D12" s="2"/>
      <c r="E12" s="2" t="s">
        <v>365</v>
      </c>
      <c r="F12" s="37">
        <v>46202</v>
      </c>
      <c r="G12" s="37">
        <v>46206</v>
      </c>
      <c r="H12" s="43">
        <v>5</v>
      </c>
      <c r="I12" s="39">
        <v>0.6</v>
      </c>
      <c r="J12" s="2" t="s">
        <v>26</v>
      </c>
      <c r="K12" s="2" t="s">
        <v>27</v>
      </c>
      <c r="L12" s="2" t="s">
        <v>85</v>
      </c>
      <c r="M12" s="2" t="s">
        <v>29</v>
      </c>
      <c r="N12" s="2"/>
    </row>
    <row r="13" spans="1:14" x14ac:dyDescent="0.25">
      <c r="A13" s="2" t="s">
        <v>35</v>
      </c>
      <c r="B13" s="2" t="s">
        <v>85</v>
      </c>
      <c r="C13" s="2" t="s">
        <v>85</v>
      </c>
      <c r="D13" s="2"/>
      <c r="E13" s="2" t="s">
        <v>366</v>
      </c>
      <c r="F13" s="37">
        <v>46188</v>
      </c>
      <c r="G13" s="37">
        <v>46195</v>
      </c>
      <c r="H13" s="43">
        <v>6</v>
      </c>
      <c r="I13" s="39">
        <v>0.7</v>
      </c>
      <c r="J13" s="2" t="s">
        <v>31</v>
      </c>
      <c r="K13" s="2" t="s">
        <v>27</v>
      </c>
      <c r="L13" s="2" t="s">
        <v>85</v>
      </c>
      <c r="M13" s="2" t="s">
        <v>29</v>
      </c>
      <c r="N13" s="2"/>
    </row>
    <row r="14" spans="1:14" ht="15.75" x14ac:dyDescent="0.3">
      <c r="A14" s="2" t="s">
        <v>38</v>
      </c>
      <c r="B14" s="2" t="s">
        <v>85</v>
      </c>
      <c r="C14" s="2" t="s">
        <v>85</v>
      </c>
      <c r="D14" s="2"/>
      <c r="E14" s="2" t="s">
        <v>366</v>
      </c>
      <c r="F14" s="37">
        <v>46202</v>
      </c>
      <c r="G14" s="37">
        <v>46204</v>
      </c>
      <c r="H14" s="43">
        <v>3</v>
      </c>
      <c r="I14" s="39">
        <v>0.7</v>
      </c>
      <c r="J14" s="2" t="s">
        <v>31</v>
      </c>
      <c r="K14" s="2" t="s">
        <v>32</v>
      </c>
      <c r="L14" s="2" t="s">
        <v>153</v>
      </c>
      <c r="M14" s="2" t="s">
        <v>29</v>
      </c>
      <c r="N14" s="53" t="s">
        <v>154</v>
      </c>
    </row>
    <row r="15" spans="1:14" ht="15.75" x14ac:dyDescent="0.3">
      <c r="A15" s="2"/>
      <c r="B15" s="2"/>
      <c r="C15" s="2"/>
      <c r="D15" s="2"/>
      <c r="E15" s="2"/>
      <c r="F15" s="37"/>
      <c r="G15" s="37"/>
      <c r="H15" s="43"/>
      <c r="I15" s="39"/>
      <c r="J15" s="2"/>
      <c r="K15" s="2"/>
      <c r="L15" s="2"/>
      <c r="M15" s="2"/>
      <c r="N15" s="53"/>
    </row>
    <row r="16" spans="1:14" x14ac:dyDescent="0.25">
      <c r="A16" s="2" t="s">
        <v>35</v>
      </c>
      <c r="B16" s="2"/>
      <c r="C16" s="2"/>
      <c r="D16" s="2"/>
      <c r="E16" s="2"/>
      <c r="F16" s="54" t="s">
        <v>156</v>
      </c>
      <c r="G16" s="37"/>
      <c r="H16" s="43"/>
      <c r="I16" s="2"/>
      <c r="J16" s="2"/>
      <c r="K16" s="2"/>
      <c r="L16" s="2"/>
      <c r="M16" s="2"/>
      <c r="N16" s="2"/>
    </row>
    <row r="17" spans="1:14" x14ac:dyDescent="0.25">
      <c r="A17" s="2"/>
      <c r="B17" s="2"/>
      <c r="C17" s="2"/>
      <c r="D17" s="2"/>
      <c r="E17" s="2"/>
      <c r="F17" s="54"/>
      <c r="G17" s="37"/>
      <c r="H17" s="43"/>
      <c r="I17" s="2"/>
      <c r="J17" s="2"/>
      <c r="K17" s="2"/>
      <c r="L17" s="2"/>
      <c r="M17" s="2"/>
      <c r="N17" s="2"/>
    </row>
    <row r="18" spans="1:14" ht="30" x14ac:dyDescent="0.25">
      <c r="A18" s="2" t="s">
        <v>35</v>
      </c>
      <c r="B18" s="2" t="s">
        <v>24</v>
      </c>
      <c r="C18" s="2" t="s">
        <v>85</v>
      </c>
      <c r="D18" s="2"/>
      <c r="E18" s="2" t="s">
        <v>367</v>
      </c>
      <c r="F18" s="37">
        <v>46204</v>
      </c>
      <c r="G18" s="37">
        <v>46205</v>
      </c>
      <c r="H18" s="43">
        <v>2</v>
      </c>
      <c r="I18" s="39">
        <v>0.8</v>
      </c>
      <c r="J18" s="2" t="s">
        <v>31</v>
      </c>
      <c r="K18" s="2" t="s">
        <v>32</v>
      </c>
      <c r="L18" s="2" t="s">
        <v>368</v>
      </c>
      <c r="M18" s="2" t="s">
        <v>29</v>
      </c>
      <c r="N18" s="2"/>
    </row>
    <row r="19" spans="1:14" ht="30" x14ac:dyDescent="0.25">
      <c r="A19" s="2" t="s">
        <v>35</v>
      </c>
      <c r="B19" s="2" t="s">
        <v>24</v>
      </c>
      <c r="C19" s="2" t="s">
        <v>85</v>
      </c>
      <c r="D19" s="2"/>
      <c r="E19" s="2" t="s">
        <v>369</v>
      </c>
      <c r="F19" s="37">
        <v>46204</v>
      </c>
      <c r="G19" s="37">
        <v>46205</v>
      </c>
      <c r="H19" s="43">
        <v>2</v>
      </c>
      <c r="I19" s="39">
        <v>0.8</v>
      </c>
      <c r="J19" s="2" t="s">
        <v>31</v>
      </c>
      <c r="K19" s="2" t="s">
        <v>32</v>
      </c>
      <c r="L19" s="2" t="s">
        <v>368</v>
      </c>
      <c r="M19" s="2" t="s">
        <v>29</v>
      </c>
      <c r="N19" s="2"/>
    </row>
    <row r="20" spans="1:14" ht="30" x14ac:dyDescent="0.25">
      <c r="A20" s="2" t="s">
        <v>35</v>
      </c>
      <c r="B20" s="2" t="s">
        <v>24</v>
      </c>
      <c r="C20" s="2" t="s">
        <v>85</v>
      </c>
      <c r="D20" s="2"/>
      <c r="E20" s="2" t="s">
        <v>370</v>
      </c>
      <c r="F20" s="37">
        <v>46204</v>
      </c>
      <c r="G20" s="37">
        <v>46209</v>
      </c>
      <c r="H20" s="43" t="s">
        <v>293</v>
      </c>
      <c r="I20" s="39">
        <v>0.4</v>
      </c>
      <c r="J20" s="2" t="s">
        <v>31</v>
      </c>
      <c r="K20" s="2" t="s">
        <v>27</v>
      </c>
      <c r="L20" s="2"/>
      <c r="M20" s="2" t="s">
        <v>29</v>
      </c>
      <c r="N20" s="2" t="s">
        <v>371</v>
      </c>
    </row>
    <row r="21" spans="1:14" ht="30" x14ac:dyDescent="0.25">
      <c r="A21" s="2" t="s">
        <v>38</v>
      </c>
      <c r="B21" s="2" t="s">
        <v>85</v>
      </c>
      <c r="C21" s="2" t="s">
        <v>85</v>
      </c>
      <c r="D21" s="2"/>
      <c r="E21" s="2" t="s">
        <v>370</v>
      </c>
      <c r="F21" s="37">
        <v>46210</v>
      </c>
      <c r="G21" s="37">
        <v>46213</v>
      </c>
      <c r="H21" s="43">
        <v>3</v>
      </c>
      <c r="I21" s="39">
        <v>0.4</v>
      </c>
      <c r="J21" s="2" t="s">
        <v>31</v>
      </c>
      <c r="K21" s="2" t="s">
        <v>27</v>
      </c>
      <c r="L21" s="2"/>
      <c r="M21" s="2" t="s">
        <v>29</v>
      </c>
      <c r="N21" s="2" t="s">
        <v>371</v>
      </c>
    </row>
    <row r="22" spans="1:14" ht="30" x14ac:dyDescent="0.25">
      <c r="A22" s="2" t="s">
        <v>35</v>
      </c>
      <c r="B22" s="2" t="s">
        <v>86</v>
      </c>
      <c r="C22" s="2" t="s">
        <v>102</v>
      </c>
      <c r="D22" s="2"/>
      <c r="E22" s="2" t="s">
        <v>372</v>
      </c>
      <c r="F22" s="37">
        <v>46180</v>
      </c>
      <c r="G22" s="37">
        <v>46212</v>
      </c>
      <c r="H22" s="43">
        <v>4</v>
      </c>
      <c r="I22" s="39">
        <v>0.8</v>
      </c>
      <c r="J22" s="2" t="s">
        <v>31</v>
      </c>
      <c r="K22" s="2" t="s">
        <v>32</v>
      </c>
      <c r="L22" s="2" t="s">
        <v>373</v>
      </c>
      <c r="M22" s="2" t="s">
        <v>29</v>
      </c>
      <c r="N22" s="2" t="s">
        <v>374</v>
      </c>
    </row>
    <row r="23" spans="1:14" ht="30" x14ac:dyDescent="0.25">
      <c r="A23" s="2" t="s">
        <v>35</v>
      </c>
      <c r="B23" s="2" t="s">
        <v>86</v>
      </c>
      <c r="C23" s="2" t="s">
        <v>102</v>
      </c>
      <c r="D23" s="2"/>
      <c r="E23" s="2" t="s">
        <v>375</v>
      </c>
      <c r="F23" s="37">
        <v>46213</v>
      </c>
      <c r="G23" s="37">
        <v>46219</v>
      </c>
      <c r="H23" s="43">
        <v>5</v>
      </c>
      <c r="I23" s="39">
        <v>0.8</v>
      </c>
      <c r="J23" s="2" t="s">
        <v>31</v>
      </c>
      <c r="K23" s="2" t="s">
        <v>32</v>
      </c>
      <c r="L23" s="2" t="s">
        <v>373</v>
      </c>
      <c r="M23" s="2" t="s">
        <v>29</v>
      </c>
      <c r="N23" s="2" t="s">
        <v>374</v>
      </c>
    </row>
    <row r="24" spans="1:14" ht="45" x14ac:dyDescent="0.25">
      <c r="A24" s="2" t="s">
        <v>35</v>
      </c>
      <c r="B24" s="2" t="s">
        <v>86</v>
      </c>
      <c r="C24" s="2" t="s">
        <v>85</v>
      </c>
      <c r="D24" s="2"/>
      <c r="E24" s="2" t="s">
        <v>164</v>
      </c>
      <c r="F24" s="37" t="s">
        <v>65</v>
      </c>
      <c r="G24" s="37"/>
      <c r="H24" s="43">
        <v>8</v>
      </c>
      <c r="I24" s="39">
        <v>0.4</v>
      </c>
      <c r="J24" s="2" t="s">
        <v>31</v>
      </c>
      <c r="K24" s="2" t="s">
        <v>32</v>
      </c>
      <c r="L24" s="2" t="s">
        <v>268</v>
      </c>
      <c r="M24" s="2" t="s">
        <v>29</v>
      </c>
      <c r="N24" s="2" t="s">
        <v>269</v>
      </c>
    </row>
    <row r="25" spans="1:14" x14ac:dyDescent="0.25">
      <c r="A25" s="2" t="s">
        <v>35</v>
      </c>
      <c r="B25" s="2" t="s">
        <v>86</v>
      </c>
      <c r="C25" s="2" t="s">
        <v>109</v>
      </c>
      <c r="D25" s="2"/>
      <c r="E25" s="2" t="s">
        <v>157</v>
      </c>
      <c r="F25" s="37" t="s">
        <v>65</v>
      </c>
      <c r="G25" s="37"/>
      <c r="H25" s="43">
        <v>8</v>
      </c>
      <c r="I25" s="39">
        <v>0.6</v>
      </c>
      <c r="J25" s="2" t="s">
        <v>26</v>
      </c>
      <c r="K25" s="2" t="s">
        <v>27</v>
      </c>
      <c r="L25" s="2" t="s">
        <v>85</v>
      </c>
      <c r="M25" s="2" t="s">
        <v>29</v>
      </c>
      <c r="N25" s="2"/>
    </row>
    <row r="26" spans="1:14" x14ac:dyDescent="0.25">
      <c r="A26" s="2" t="s">
        <v>35</v>
      </c>
      <c r="B26" s="2" t="s">
        <v>86</v>
      </c>
      <c r="C26" s="2" t="s">
        <v>109</v>
      </c>
      <c r="D26" s="2"/>
      <c r="E26" s="2" t="s">
        <v>262</v>
      </c>
      <c r="F26" s="37"/>
      <c r="G26" s="37"/>
      <c r="H26" s="43">
        <v>5</v>
      </c>
      <c r="I26" s="39">
        <v>0.5</v>
      </c>
      <c r="J26" s="2" t="s">
        <v>26</v>
      </c>
      <c r="K26" s="2" t="s">
        <v>27</v>
      </c>
      <c r="L26" s="2" t="s">
        <v>85</v>
      </c>
      <c r="M26" s="2" t="s">
        <v>29</v>
      </c>
      <c r="N26" s="2"/>
    </row>
    <row r="27" spans="1:14" x14ac:dyDescent="0.25">
      <c r="A27" s="2" t="s">
        <v>35</v>
      </c>
      <c r="B27" s="2" t="s">
        <v>86</v>
      </c>
      <c r="C27" s="2" t="s">
        <v>109</v>
      </c>
      <c r="D27" s="2"/>
      <c r="E27" s="2"/>
      <c r="F27" s="54" t="s">
        <v>155</v>
      </c>
      <c r="G27" s="37"/>
      <c r="H27" s="43"/>
      <c r="I27" s="2"/>
      <c r="J27" s="2"/>
      <c r="K27" s="2"/>
      <c r="L27" s="2"/>
      <c r="M27" s="2"/>
      <c r="N27" s="2"/>
    </row>
    <row r="28" spans="1:14" ht="30" x14ac:dyDescent="0.25">
      <c r="A28" s="2" t="s">
        <v>35</v>
      </c>
      <c r="B28" s="2" t="s">
        <v>86</v>
      </c>
      <c r="C28" s="2" t="s">
        <v>109</v>
      </c>
      <c r="D28" s="2"/>
      <c r="E28" s="2" t="s">
        <v>290</v>
      </c>
      <c r="F28" s="37" t="s">
        <v>65</v>
      </c>
      <c r="G28" s="37"/>
      <c r="H28" s="43">
        <v>3</v>
      </c>
      <c r="I28" s="39">
        <v>0.5</v>
      </c>
      <c r="J28" s="2" t="s">
        <v>31</v>
      </c>
      <c r="K28" s="2" t="s">
        <v>32</v>
      </c>
      <c r="L28" s="2" t="s">
        <v>152</v>
      </c>
      <c r="M28" s="2" t="s">
        <v>29</v>
      </c>
      <c r="N28" s="2" t="s">
        <v>160</v>
      </c>
    </row>
    <row r="29" spans="1:14" ht="30" x14ac:dyDescent="0.25">
      <c r="A29" s="2" t="s">
        <v>35</v>
      </c>
      <c r="B29" s="2" t="s">
        <v>86</v>
      </c>
      <c r="C29" s="2" t="s">
        <v>109</v>
      </c>
      <c r="D29" s="2"/>
      <c r="E29" s="2" t="s">
        <v>291</v>
      </c>
      <c r="F29" s="37" t="s">
        <v>65</v>
      </c>
      <c r="G29" s="37"/>
      <c r="H29" s="43" t="s">
        <v>293</v>
      </c>
      <c r="I29" s="39">
        <v>0.4</v>
      </c>
      <c r="J29" s="2" t="s">
        <v>31</v>
      </c>
      <c r="K29" s="2" t="s">
        <v>32</v>
      </c>
      <c r="L29" s="2" t="s">
        <v>161</v>
      </c>
      <c r="M29" s="2" t="s">
        <v>29</v>
      </c>
      <c r="N29" s="2" t="s">
        <v>162</v>
      </c>
    </row>
    <row r="30" spans="1:14" ht="30" x14ac:dyDescent="0.25">
      <c r="A30" s="2" t="s">
        <v>35</v>
      </c>
      <c r="B30" s="2" t="s">
        <v>86</v>
      </c>
      <c r="C30" s="2" t="s">
        <v>109</v>
      </c>
      <c r="D30" s="2"/>
      <c r="E30" s="2" t="s">
        <v>292</v>
      </c>
      <c r="F30" s="37" t="s">
        <v>65</v>
      </c>
      <c r="G30" s="37"/>
      <c r="H30" s="43" t="s">
        <v>293</v>
      </c>
      <c r="I30" s="39">
        <v>0.4</v>
      </c>
      <c r="J30" s="2" t="s">
        <v>31</v>
      </c>
      <c r="K30" s="2" t="s">
        <v>32</v>
      </c>
      <c r="L30" s="2" t="s">
        <v>161</v>
      </c>
      <c r="M30" s="2" t="s">
        <v>29</v>
      </c>
      <c r="N30" s="2" t="s">
        <v>162</v>
      </c>
    </row>
    <row r="31" spans="1:14" x14ac:dyDescent="0.25">
      <c r="A31" s="2" t="s">
        <v>35</v>
      </c>
      <c r="B31" s="2" t="s">
        <v>86</v>
      </c>
      <c r="C31" s="2" t="s">
        <v>109</v>
      </c>
      <c r="D31" s="2"/>
      <c r="E31" s="2" t="s">
        <v>263</v>
      </c>
      <c r="F31" s="37" t="s">
        <v>65</v>
      </c>
      <c r="G31" s="37"/>
      <c r="H31" s="43">
        <v>5</v>
      </c>
      <c r="I31" s="39">
        <v>0.6</v>
      </c>
      <c r="J31" s="2" t="s">
        <v>31</v>
      </c>
      <c r="K31" s="2" t="s">
        <v>32</v>
      </c>
      <c r="L31" s="2" t="s">
        <v>309</v>
      </c>
      <c r="M31" s="2" t="s">
        <v>29</v>
      </c>
      <c r="N31" s="2"/>
    </row>
    <row r="32" spans="1:14" x14ac:dyDescent="0.25">
      <c r="A32" s="2" t="s">
        <v>35</v>
      </c>
      <c r="B32" s="2" t="s">
        <v>86</v>
      </c>
      <c r="C32" s="2" t="s">
        <v>109</v>
      </c>
      <c r="D32" s="2"/>
      <c r="E32" s="2" t="s">
        <v>264</v>
      </c>
      <c r="F32" s="37" t="s">
        <v>65</v>
      </c>
      <c r="G32" s="37"/>
      <c r="H32" s="43">
        <v>8</v>
      </c>
      <c r="I32" s="39">
        <v>0.5</v>
      </c>
      <c r="J32" s="2" t="s">
        <v>31</v>
      </c>
      <c r="K32" s="2" t="s">
        <v>27</v>
      </c>
      <c r="L32" s="2" t="s">
        <v>85</v>
      </c>
      <c r="M32" s="2" t="s">
        <v>29</v>
      </c>
      <c r="N32" s="2"/>
    </row>
    <row r="33" spans="1:14" x14ac:dyDescent="0.25">
      <c r="A33" s="2"/>
      <c r="B33" s="2"/>
      <c r="C33" s="2"/>
      <c r="D33" s="2"/>
      <c r="E33" s="2"/>
      <c r="F33" s="37"/>
      <c r="G33" s="37"/>
      <c r="H33" s="43"/>
      <c r="I33" s="2"/>
      <c r="J33" s="2"/>
      <c r="K33" s="2"/>
      <c r="L33" s="2"/>
      <c r="M33" s="2"/>
      <c r="N33" s="2"/>
    </row>
    <row r="34" spans="1:14" x14ac:dyDescent="0.25">
      <c r="A34" s="2"/>
      <c r="B34" s="2"/>
      <c r="C34" s="71" t="s">
        <v>346</v>
      </c>
      <c r="D34" s="2"/>
      <c r="E34" s="2"/>
      <c r="F34" s="37"/>
      <c r="G34" s="37"/>
      <c r="H34" s="43">
        <f t="shared" ref="H22:H72" si="0">NETWORKDAYS(F34,G34)</f>
        <v>0</v>
      </c>
      <c r="I34" s="2"/>
      <c r="J34" s="2"/>
      <c r="K34" s="2"/>
      <c r="L34" s="2"/>
      <c r="M34" s="2"/>
      <c r="N34" s="2"/>
    </row>
    <row r="35" spans="1:14" x14ac:dyDescent="0.25">
      <c r="A35" s="2"/>
      <c r="B35" s="2"/>
      <c r="C35" s="71" t="s">
        <v>347</v>
      </c>
      <c r="D35" s="2"/>
      <c r="E35" s="2"/>
      <c r="F35" s="37"/>
      <c r="G35" s="37"/>
      <c r="H35" s="43">
        <f t="shared" si="0"/>
        <v>0</v>
      </c>
      <c r="I35" s="2"/>
      <c r="J35" s="2"/>
      <c r="K35" s="2"/>
      <c r="L35" s="2"/>
      <c r="M35" s="2"/>
      <c r="N35" s="2"/>
    </row>
    <row r="36" spans="1:14" x14ac:dyDescent="0.25">
      <c r="A36" s="2"/>
      <c r="B36" s="2"/>
      <c r="C36" s="71" t="s">
        <v>348</v>
      </c>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si="0"/>
        <v>0</v>
      </c>
      <c r="I69" s="2"/>
      <c r="J69" s="2"/>
      <c r="K69" s="2"/>
      <c r="L69" s="2"/>
      <c r="M69" s="2"/>
      <c r="N69" s="2"/>
    </row>
    <row r="70" spans="1:14" x14ac:dyDescent="0.25">
      <c r="A70" s="2"/>
      <c r="B70" s="2"/>
      <c r="C70" s="2"/>
      <c r="D70" s="2"/>
      <c r="E70" s="2"/>
      <c r="F70" s="37"/>
      <c r="G70" s="37"/>
      <c r="H70" s="43">
        <f t="shared" si="0"/>
        <v>0</v>
      </c>
      <c r="I70" s="2"/>
      <c r="J70" s="2"/>
      <c r="K70" s="2"/>
      <c r="L70" s="2"/>
      <c r="M70" s="2"/>
      <c r="N70" s="2"/>
    </row>
    <row r="71" spans="1:14" x14ac:dyDescent="0.25">
      <c r="A71" s="2"/>
      <c r="B71" s="2"/>
      <c r="C71" s="2"/>
      <c r="D71" s="2"/>
      <c r="E71" s="2"/>
      <c r="F71" s="37"/>
      <c r="G71" s="37"/>
      <c r="H71" s="43">
        <f t="shared" si="0"/>
        <v>0</v>
      </c>
      <c r="I71" s="2"/>
      <c r="J71" s="2"/>
      <c r="K71" s="2"/>
      <c r="L71" s="2"/>
      <c r="M71" s="2"/>
      <c r="N71" s="2"/>
    </row>
    <row r="72" spans="1:14" x14ac:dyDescent="0.25">
      <c r="A72" s="2"/>
      <c r="B72" s="2"/>
      <c r="C72" s="2"/>
      <c r="D72" s="2"/>
      <c r="E72" s="2"/>
      <c r="F72" s="37"/>
      <c r="G72" s="37"/>
      <c r="H72" s="43">
        <f t="shared" si="0"/>
        <v>0</v>
      </c>
      <c r="I72" s="2"/>
      <c r="J72" s="2"/>
      <c r="K72" s="2"/>
      <c r="L72" s="2"/>
      <c r="M72" s="2"/>
      <c r="N72" s="2"/>
    </row>
    <row r="73" spans="1:14" x14ac:dyDescent="0.25">
      <c r="A73" s="2"/>
      <c r="B73" s="2"/>
      <c r="C73" s="2"/>
      <c r="D73" s="2"/>
      <c r="E73" s="2"/>
      <c r="F73" s="37"/>
      <c r="G73" s="37"/>
      <c r="H73" s="43">
        <f t="shared" ref="H73:H136" si="1">NETWORKDAYS(F73,G73)</f>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si="1"/>
        <v>0</v>
      </c>
      <c r="I133" s="2"/>
      <c r="J133" s="2"/>
      <c r="K133" s="2"/>
      <c r="L133" s="2"/>
      <c r="M133" s="2"/>
      <c r="N133" s="2"/>
    </row>
    <row r="134" spans="1:14" x14ac:dyDescent="0.25">
      <c r="A134" s="2"/>
      <c r="B134" s="2"/>
      <c r="C134" s="2"/>
      <c r="D134" s="2"/>
      <c r="E134" s="2"/>
      <c r="F134" s="37"/>
      <c r="G134" s="37"/>
      <c r="H134" s="43">
        <f t="shared" si="1"/>
        <v>0</v>
      </c>
      <c r="I134" s="2"/>
      <c r="J134" s="2"/>
      <c r="K134" s="2"/>
      <c r="L134" s="2"/>
      <c r="M134" s="2"/>
      <c r="N134" s="2"/>
    </row>
    <row r="135" spans="1:14" x14ac:dyDescent="0.25">
      <c r="A135" s="2"/>
      <c r="B135" s="2"/>
      <c r="C135" s="2"/>
      <c r="D135" s="2"/>
      <c r="E135" s="2"/>
      <c r="F135" s="37"/>
      <c r="G135" s="37"/>
      <c r="H135" s="43">
        <f t="shared" si="1"/>
        <v>0</v>
      </c>
      <c r="I135" s="2"/>
      <c r="J135" s="2"/>
      <c r="K135" s="2"/>
      <c r="L135" s="2"/>
      <c r="M135" s="2"/>
      <c r="N135" s="2"/>
    </row>
    <row r="136" spans="1:14" x14ac:dyDescent="0.25">
      <c r="A136" s="2"/>
      <c r="B136" s="2"/>
      <c r="C136" s="2"/>
      <c r="D136" s="2"/>
      <c r="E136" s="2"/>
      <c r="F136" s="37"/>
      <c r="G136" s="37"/>
      <c r="H136" s="43">
        <f t="shared" si="1"/>
        <v>0</v>
      </c>
      <c r="I136" s="2"/>
      <c r="J136" s="2"/>
      <c r="K136" s="2"/>
      <c r="L136" s="2"/>
      <c r="M136" s="2"/>
      <c r="N136" s="2"/>
    </row>
    <row r="137" spans="1:14" x14ac:dyDescent="0.25">
      <c r="A137" s="2"/>
      <c r="B137" s="2"/>
      <c r="C137" s="2"/>
      <c r="D137" s="2"/>
      <c r="E137" s="2"/>
      <c r="F137" s="37"/>
      <c r="G137" s="37"/>
      <c r="H137" s="43">
        <f t="shared" ref="H137:H144" si="2">NETWORKDAYS(F137,G137)</f>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row r="139" spans="1:14" x14ac:dyDescent="0.25">
      <c r="A139" s="2"/>
      <c r="B139" s="2"/>
      <c r="C139" s="2"/>
      <c r="D139" s="2"/>
      <c r="E139" s="2"/>
      <c r="F139" s="37"/>
      <c r="G139" s="37"/>
      <c r="H139" s="43">
        <f t="shared" si="2"/>
        <v>0</v>
      </c>
      <c r="I139" s="2"/>
      <c r="J139" s="2"/>
      <c r="K139" s="2"/>
      <c r="L139" s="2"/>
      <c r="M139" s="2"/>
      <c r="N139" s="2"/>
    </row>
    <row r="140" spans="1:14" x14ac:dyDescent="0.25">
      <c r="A140" s="2"/>
      <c r="B140" s="2"/>
      <c r="C140" s="2"/>
      <c r="D140" s="2"/>
      <c r="E140" s="2"/>
      <c r="F140" s="37"/>
      <c r="G140" s="37"/>
      <c r="H140" s="43">
        <f t="shared" si="2"/>
        <v>0</v>
      </c>
      <c r="I140" s="2"/>
      <c r="J140" s="2"/>
      <c r="K140" s="2"/>
      <c r="L140" s="2"/>
      <c r="M140" s="2"/>
      <c r="N140" s="2"/>
    </row>
    <row r="141" spans="1:14" x14ac:dyDescent="0.25">
      <c r="A141" s="2"/>
      <c r="B141" s="2"/>
      <c r="C141" s="2"/>
      <c r="D141" s="2"/>
      <c r="E141" s="2"/>
      <c r="F141" s="37"/>
      <c r="G141" s="37"/>
      <c r="H141" s="43">
        <f t="shared" si="2"/>
        <v>0</v>
      </c>
      <c r="I141" s="2"/>
      <c r="J141" s="2"/>
      <c r="K141" s="2"/>
      <c r="L141" s="2"/>
      <c r="M141" s="2"/>
      <c r="N141" s="2"/>
    </row>
    <row r="142" spans="1:14" x14ac:dyDescent="0.25">
      <c r="A142" s="2"/>
      <c r="B142" s="2"/>
      <c r="C142" s="2"/>
      <c r="D142" s="2"/>
      <c r="E142" s="2"/>
      <c r="F142" s="37"/>
      <c r="G142" s="37"/>
      <c r="H142" s="43">
        <f t="shared" si="2"/>
        <v>0</v>
      </c>
      <c r="I142" s="2"/>
      <c r="J142" s="2"/>
      <c r="K142" s="2"/>
      <c r="L142" s="2"/>
      <c r="M142" s="2"/>
      <c r="N142" s="2"/>
    </row>
    <row r="143" spans="1:14" x14ac:dyDescent="0.25">
      <c r="A143" s="2"/>
      <c r="B143" s="2"/>
      <c r="C143" s="2"/>
      <c r="D143" s="2"/>
      <c r="E143" s="2"/>
      <c r="F143" s="37"/>
      <c r="G143" s="37"/>
      <c r="H143" s="43">
        <f t="shared" si="2"/>
        <v>0</v>
      </c>
      <c r="I143" s="2"/>
      <c r="J143" s="2"/>
      <c r="K143" s="2"/>
      <c r="L143" s="2"/>
      <c r="M143" s="2"/>
      <c r="N143" s="2"/>
    </row>
    <row r="144" spans="1:14" x14ac:dyDescent="0.25">
      <c r="A144" s="2"/>
      <c r="B144" s="2"/>
      <c r="C144" s="2"/>
      <c r="D144" s="2"/>
      <c r="E144" s="2"/>
      <c r="F144" s="37"/>
      <c r="G144" s="37"/>
      <c r="H144" s="43">
        <f t="shared" si="2"/>
        <v>0</v>
      </c>
      <c r="I144" s="2"/>
      <c r="J144" s="2"/>
      <c r="K144" s="2"/>
      <c r="L144" s="2"/>
      <c r="M144" s="2"/>
      <c r="N144" s="2"/>
    </row>
  </sheetData>
  <dataValidations count="5">
    <dataValidation type="list" allowBlank="1" showInputMessage="1" showErrorMessage="1" sqref="J4:J144" xr:uid="{139ADF0A-C6BA-4B35-9A9A-461252F5DD9E}">
      <formula1>"Critical,High,Medium,Low"</formula1>
    </dataValidation>
    <dataValidation type="list" sqref="M4:M144 N4:N13 N16:N18 N20:N144" xr:uid="{624B3935-AB14-4EA3-9540-9712F1E97D17}">
      <formula1>"TBC,Not Started,In Progress,Ready,Blocked,Complete,N/A"</formula1>
    </dataValidation>
    <dataValidation type="list" allowBlank="1" showInputMessage="1" showErrorMessage="1" sqref="I4:I144" xr:uid="{9A1C82B7-8CAF-4A4B-9AF8-1F9586A80B0C}">
      <formula1>"10%,20%,30%,40%,50%,60%,70%,80%,90%,100%"</formula1>
    </dataValidation>
    <dataValidation type="list" allowBlank="1" showInputMessage="1" showErrorMessage="1" sqref="K4:K144" xr:uid="{2EE4BE4C-5249-438D-B573-E1BAF68FD27B}">
      <formula1>"Yes,No"</formula1>
    </dataValidation>
    <dataValidation type="list" allowBlank="1" showInputMessage="1" showErrorMessage="1" sqref="A4:A144" xr:uid="{34EEA39D-9794-4F2E-9E79-BD33317EA534}">
      <formula1>"Public Web,Secure Web"</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1395-AC17-49EC-9A51-6CE7E90B84A1}">
  <dimension ref="A1:N149"/>
  <sheetViews>
    <sheetView topLeftCell="A16" workbookViewId="0">
      <selection activeCell="A30" sqref="A30:XFD30"/>
    </sheetView>
  </sheetViews>
  <sheetFormatPr defaultColWidth="38.7109375" defaultRowHeight="15" x14ac:dyDescent="0.25"/>
  <cols>
    <col min="1" max="1" width="20.42578125" customWidth="1"/>
    <col min="2" max="2" width="28.140625" customWidth="1"/>
    <col min="3" max="3" width="26.7109375" customWidth="1"/>
    <col min="4" max="4" width="25.7109375" customWidth="1"/>
    <col min="6" max="7" width="18.710937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1" t="s">
        <v>16</v>
      </c>
      <c r="B1" s="1" t="s">
        <v>22</v>
      </c>
    </row>
    <row r="2" spans="1:14" ht="21.75" x14ac:dyDescent="0.25">
      <c r="A2" s="1" t="s">
        <v>1</v>
      </c>
      <c r="B2" s="1" t="s">
        <v>220</v>
      </c>
    </row>
    <row r="3" spans="1:14" ht="60" x14ac:dyDescent="0.25">
      <c r="A3" s="5" t="s">
        <v>2</v>
      </c>
      <c r="B3" s="5" t="s">
        <v>3</v>
      </c>
      <c r="C3" s="6" t="s">
        <v>4</v>
      </c>
      <c r="D3" s="4" t="s">
        <v>5</v>
      </c>
      <c r="E3" s="5" t="s">
        <v>6</v>
      </c>
      <c r="F3" s="5" t="s">
        <v>7</v>
      </c>
      <c r="G3" s="5" t="s">
        <v>8</v>
      </c>
      <c r="H3" s="5" t="s">
        <v>9</v>
      </c>
      <c r="I3" s="5" t="s">
        <v>10</v>
      </c>
      <c r="J3" s="5" t="s">
        <v>11</v>
      </c>
      <c r="K3" s="3" t="s">
        <v>12</v>
      </c>
      <c r="L3" s="3" t="s">
        <v>13</v>
      </c>
      <c r="M3" s="4" t="s">
        <v>14</v>
      </c>
      <c r="N3" s="44" t="s">
        <v>15</v>
      </c>
    </row>
    <row r="4" spans="1:14" x14ac:dyDescent="0.25">
      <c r="A4" s="2" t="s">
        <v>35</v>
      </c>
      <c r="B4" s="2" t="s">
        <v>82</v>
      </c>
      <c r="C4" s="2" t="s">
        <v>102</v>
      </c>
      <c r="D4" s="2"/>
      <c r="E4" s="2" t="s">
        <v>84</v>
      </c>
      <c r="F4" s="37">
        <v>46182</v>
      </c>
      <c r="G4" s="37">
        <v>46184</v>
      </c>
      <c r="H4" s="43">
        <f>NETWORKDAYS(F4,G4)</f>
        <v>3</v>
      </c>
      <c r="I4" s="39">
        <v>0.8</v>
      </c>
      <c r="J4" s="2" t="s">
        <v>26</v>
      </c>
      <c r="K4" s="2" t="s">
        <v>27</v>
      </c>
      <c r="L4" s="2"/>
      <c r="M4" s="2" t="s">
        <v>85</v>
      </c>
      <c r="N4" s="2"/>
    </row>
    <row r="5" spans="1:14" ht="30" x14ac:dyDescent="0.25">
      <c r="A5" s="2" t="s">
        <v>35</v>
      </c>
      <c r="B5" s="2" t="s">
        <v>83</v>
      </c>
      <c r="C5" s="2" t="s">
        <v>102</v>
      </c>
      <c r="D5" s="2"/>
      <c r="E5" s="2" t="s">
        <v>103</v>
      </c>
      <c r="F5" s="37">
        <v>46184</v>
      </c>
      <c r="G5" s="37">
        <v>46199</v>
      </c>
      <c r="H5" s="43">
        <f t="shared" ref="H5:H77" si="0">NETWORKDAYS(F5,G5)</f>
        <v>12</v>
      </c>
      <c r="I5" s="39">
        <v>1</v>
      </c>
      <c r="J5" s="2" t="s">
        <v>26</v>
      </c>
      <c r="K5" s="2" t="s">
        <v>27</v>
      </c>
      <c r="L5" s="2"/>
      <c r="M5" s="2" t="s">
        <v>29</v>
      </c>
      <c r="N5" s="2" t="s">
        <v>112</v>
      </c>
    </row>
    <row r="6" spans="1:14" x14ac:dyDescent="0.25">
      <c r="A6" s="2" t="s">
        <v>35</v>
      </c>
      <c r="B6" s="2" t="s">
        <v>83</v>
      </c>
      <c r="C6" s="2" t="s">
        <v>102</v>
      </c>
      <c r="D6" s="2"/>
      <c r="E6" s="2" t="s">
        <v>84</v>
      </c>
      <c r="F6" s="37" t="s">
        <v>104</v>
      </c>
      <c r="G6" s="37"/>
      <c r="H6" s="43" t="e">
        <f t="shared" si="0"/>
        <v>#VALUE!</v>
      </c>
      <c r="I6" s="39">
        <v>0.8</v>
      </c>
      <c r="J6" s="2" t="s">
        <v>26</v>
      </c>
      <c r="K6" s="2" t="s">
        <v>27</v>
      </c>
      <c r="L6" s="2"/>
      <c r="M6" s="2" t="s">
        <v>85</v>
      </c>
      <c r="N6" s="2" t="s">
        <v>355</v>
      </c>
    </row>
    <row r="7" spans="1:14" ht="30" x14ac:dyDescent="0.3">
      <c r="A7" s="2" t="s">
        <v>35</v>
      </c>
      <c r="B7" s="2" t="s">
        <v>86</v>
      </c>
      <c r="C7" s="2" t="s">
        <v>109</v>
      </c>
      <c r="D7" s="2" t="s">
        <v>106</v>
      </c>
      <c r="E7" s="51" t="s">
        <v>110</v>
      </c>
      <c r="F7" s="37">
        <v>46183</v>
      </c>
      <c r="G7" s="37">
        <v>46191</v>
      </c>
      <c r="H7" s="43">
        <f t="shared" si="0"/>
        <v>7</v>
      </c>
      <c r="I7" s="39">
        <v>0.9</v>
      </c>
      <c r="J7" s="2" t="s">
        <v>26</v>
      </c>
      <c r="K7" s="2" t="s">
        <v>27</v>
      </c>
      <c r="L7" s="2"/>
      <c r="M7" s="2" t="s">
        <v>29</v>
      </c>
      <c r="N7" s="2" t="s">
        <v>113</v>
      </c>
    </row>
    <row r="8" spans="1:14" ht="45" x14ac:dyDescent="0.3">
      <c r="A8" s="2" t="s">
        <v>35</v>
      </c>
      <c r="B8" s="2" t="s">
        <v>86</v>
      </c>
      <c r="C8" s="2" t="s">
        <v>109</v>
      </c>
      <c r="D8" s="2" t="s">
        <v>107</v>
      </c>
      <c r="E8" s="51" t="s">
        <v>114</v>
      </c>
      <c r="F8" s="37">
        <v>46183</v>
      </c>
      <c r="G8" s="37">
        <v>46191</v>
      </c>
      <c r="H8" s="43">
        <f t="shared" si="0"/>
        <v>7</v>
      </c>
      <c r="I8" s="39">
        <v>0.9</v>
      </c>
      <c r="J8" s="2" t="s">
        <v>26</v>
      </c>
      <c r="K8" s="2" t="s">
        <v>27</v>
      </c>
      <c r="L8" s="2"/>
      <c r="M8" s="2" t="s">
        <v>29</v>
      </c>
      <c r="N8" s="2" t="s">
        <v>113</v>
      </c>
    </row>
    <row r="9" spans="1:14" ht="30" x14ac:dyDescent="0.3">
      <c r="A9" s="2" t="s">
        <v>35</v>
      </c>
      <c r="B9" s="2" t="s">
        <v>86</v>
      </c>
      <c r="C9" s="2" t="s">
        <v>109</v>
      </c>
      <c r="D9" s="2" t="s">
        <v>108</v>
      </c>
      <c r="E9" s="51" t="s">
        <v>115</v>
      </c>
      <c r="F9" s="37">
        <v>46183</v>
      </c>
      <c r="G9" s="37">
        <v>46191</v>
      </c>
      <c r="H9" s="43">
        <f t="shared" si="0"/>
        <v>7</v>
      </c>
      <c r="I9" s="39">
        <v>0.9</v>
      </c>
      <c r="J9" s="2" t="s">
        <v>26</v>
      </c>
      <c r="K9" s="2" t="s">
        <v>27</v>
      </c>
      <c r="L9" s="2"/>
      <c r="M9" s="2" t="s">
        <v>29</v>
      </c>
      <c r="N9" s="2" t="s">
        <v>113</v>
      </c>
    </row>
    <row r="10" spans="1:14" ht="30" x14ac:dyDescent="0.3">
      <c r="A10" s="2" t="s">
        <v>35</v>
      </c>
      <c r="B10" s="2" t="s">
        <v>86</v>
      </c>
      <c r="C10" s="2" t="s">
        <v>122</v>
      </c>
      <c r="D10" s="2"/>
      <c r="E10" s="52" t="s">
        <v>336</v>
      </c>
      <c r="F10" s="37"/>
      <c r="G10" s="37"/>
      <c r="H10" s="43"/>
      <c r="I10" s="39">
        <v>0.7</v>
      </c>
      <c r="J10" s="2" t="s">
        <v>26</v>
      </c>
      <c r="K10" s="2" t="s">
        <v>32</v>
      </c>
      <c r="L10" s="2" t="s">
        <v>338</v>
      </c>
      <c r="M10" s="2" t="s">
        <v>29</v>
      </c>
      <c r="N10" s="2"/>
    </row>
    <row r="11" spans="1:14" ht="30" x14ac:dyDescent="0.3">
      <c r="A11" s="2" t="s">
        <v>35</v>
      </c>
      <c r="B11" s="2" t="s">
        <v>86</v>
      </c>
      <c r="C11" s="2" t="s">
        <v>122</v>
      </c>
      <c r="D11" s="2"/>
      <c r="E11" s="52" t="s">
        <v>123</v>
      </c>
      <c r="F11" s="37">
        <v>46204</v>
      </c>
      <c r="G11" s="37">
        <v>46357</v>
      </c>
      <c r="H11" s="43">
        <f>NETWORKDAYS(F11,G11)</f>
        <v>110</v>
      </c>
      <c r="I11" s="39">
        <v>0.8</v>
      </c>
      <c r="J11" s="2" t="s">
        <v>26</v>
      </c>
      <c r="K11" s="2" t="s">
        <v>32</v>
      </c>
      <c r="L11" s="2" t="s">
        <v>124</v>
      </c>
      <c r="M11" s="2" t="s">
        <v>36</v>
      </c>
      <c r="N11" s="2" t="s">
        <v>125</v>
      </c>
    </row>
    <row r="12" spans="1:14" ht="45" x14ac:dyDescent="0.3">
      <c r="A12" s="2" t="s">
        <v>35</v>
      </c>
      <c r="B12" s="2" t="s">
        <v>86</v>
      </c>
      <c r="C12" s="2" t="s">
        <v>109</v>
      </c>
      <c r="D12" s="2"/>
      <c r="E12" s="52" t="s">
        <v>337</v>
      </c>
      <c r="F12" s="37">
        <v>46233</v>
      </c>
      <c r="G12" s="37"/>
      <c r="H12" s="43"/>
      <c r="I12" s="39">
        <v>0.7</v>
      </c>
      <c r="J12" s="2" t="s">
        <v>26</v>
      </c>
      <c r="K12" s="2" t="s">
        <v>32</v>
      </c>
      <c r="L12" s="2" t="s">
        <v>338</v>
      </c>
      <c r="M12" s="2" t="s">
        <v>29</v>
      </c>
      <c r="N12" s="2"/>
    </row>
    <row r="13" spans="1:14" ht="30" x14ac:dyDescent="0.25">
      <c r="A13" s="2" t="s">
        <v>35</v>
      </c>
      <c r="B13" s="2" t="s">
        <v>86</v>
      </c>
      <c r="C13" s="2" t="s">
        <v>109</v>
      </c>
      <c r="D13" s="2"/>
      <c r="E13" s="2" t="s">
        <v>116</v>
      </c>
      <c r="F13" s="37">
        <v>46233</v>
      </c>
      <c r="G13" s="37">
        <v>46357</v>
      </c>
      <c r="H13" s="43">
        <f t="shared" si="0"/>
        <v>89</v>
      </c>
      <c r="I13" s="39">
        <v>0.7</v>
      </c>
      <c r="J13" s="2" t="s">
        <v>26</v>
      </c>
      <c r="K13" s="2" t="s">
        <v>32</v>
      </c>
      <c r="L13" s="2" t="s">
        <v>100</v>
      </c>
      <c r="M13" s="2" t="s">
        <v>29</v>
      </c>
      <c r="N13" s="2" t="s">
        <v>118</v>
      </c>
    </row>
    <row r="14" spans="1:14" ht="45" x14ac:dyDescent="0.3">
      <c r="A14" s="2" t="s">
        <v>35</v>
      </c>
      <c r="B14" s="2" t="s">
        <v>86</v>
      </c>
      <c r="C14" s="2" t="s">
        <v>119</v>
      </c>
      <c r="D14" s="2"/>
      <c r="E14" s="52" t="s">
        <v>340</v>
      </c>
      <c r="F14" s="37">
        <v>46235</v>
      </c>
      <c r="G14" s="37"/>
      <c r="H14" s="43"/>
      <c r="I14" s="39">
        <v>0.7</v>
      </c>
      <c r="J14" s="2" t="s">
        <v>26</v>
      </c>
      <c r="K14" s="2" t="s">
        <v>32</v>
      </c>
      <c r="L14" s="2" t="s">
        <v>338</v>
      </c>
      <c r="M14" s="2" t="s">
        <v>29</v>
      </c>
      <c r="N14" s="2"/>
    </row>
    <row r="15" spans="1:14" ht="30" x14ac:dyDescent="0.25">
      <c r="A15" s="2" t="s">
        <v>35</v>
      </c>
      <c r="B15" s="2" t="s">
        <v>86</v>
      </c>
      <c r="C15" s="2" t="s">
        <v>119</v>
      </c>
      <c r="D15" s="2"/>
      <c r="E15" s="2" t="s">
        <v>116</v>
      </c>
      <c r="F15" s="37">
        <v>46235</v>
      </c>
      <c r="G15" s="37">
        <v>46357</v>
      </c>
      <c r="H15" s="43">
        <f t="shared" si="0"/>
        <v>87</v>
      </c>
      <c r="I15" s="39">
        <v>0.4</v>
      </c>
      <c r="J15" s="2" t="s">
        <v>26</v>
      </c>
      <c r="K15" s="2" t="s">
        <v>32</v>
      </c>
      <c r="L15" s="2" t="s">
        <v>100</v>
      </c>
      <c r="M15" s="2" t="s">
        <v>29</v>
      </c>
      <c r="N15" s="2" t="s">
        <v>118</v>
      </c>
    </row>
    <row r="16" spans="1:14" ht="30" x14ac:dyDescent="0.25">
      <c r="A16" s="2" t="s">
        <v>35</v>
      </c>
      <c r="B16" s="2" t="s">
        <v>86</v>
      </c>
      <c r="C16" s="2" t="s">
        <v>120</v>
      </c>
      <c r="D16" s="2"/>
      <c r="E16" s="2" t="s">
        <v>116</v>
      </c>
      <c r="F16" s="37">
        <v>46235</v>
      </c>
      <c r="G16" s="37">
        <v>46358</v>
      </c>
      <c r="H16" s="43">
        <f t="shared" si="0"/>
        <v>88</v>
      </c>
      <c r="I16" s="39">
        <v>0.3</v>
      </c>
      <c r="J16" s="2" t="s">
        <v>26</v>
      </c>
      <c r="K16" s="2" t="s">
        <v>32</v>
      </c>
      <c r="L16" s="2" t="s">
        <v>100</v>
      </c>
      <c r="M16" s="2" t="s">
        <v>29</v>
      </c>
      <c r="N16" s="2" t="s">
        <v>118</v>
      </c>
    </row>
    <row r="17" spans="1:14" ht="45" x14ac:dyDescent="0.3">
      <c r="A17" s="2" t="s">
        <v>35</v>
      </c>
      <c r="B17" s="2" t="s">
        <v>86</v>
      </c>
      <c r="C17" s="2" t="s">
        <v>126</v>
      </c>
      <c r="D17" s="2"/>
      <c r="E17" s="52" t="s">
        <v>341</v>
      </c>
      <c r="F17" s="37">
        <v>46235</v>
      </c>
      <c r="G17" s="37"/>
      <c r="H17" s="43"/>
      <c r="I17" s="39">
        <v>0.7</v>
      </c>
      <c r="J17" s="2" t="s">
        <v>26</v>
      </c>
      <c r="K17" s="2" t="s">
        <v>32</v>
      </c>
      <c r="L17" s="2" t="s">
        <v>338</v>
      </c>
      <c r="M17" s="2" t="s">
        <v>29</v>
      </c>
      <c r="N17" s="2"/>
    </row>
    <row r="18" spans="1:14" ht="30" x14ac:dyDescent="0.25">
      <c r="A18" s="2" t="s">
        <v>35</v>
      </c>
      <c r="B18" s="2" t="s">
        <v>86</v>
      </c>
      <c r="C18" s="2" t="s">
        <v>126</v>
      </c>
      <c r="D18" s="2"/>
      <c r="E18" s="2" t="s">
        <v>116</v>
      </c>
      <c r="F18" s="37">
        <v>46235</v>
      </c>
      <c r="G18" s="37">
        <v>46359</v>
      </c>
      <c r="H18" s="43">
        <f t="shared" si="0"/>
        <v>89</v>
      </c>
      <c r="I18" s="39">
        <v>0.3</v>
      </c>
      <c r="J18" s="2" t="s">
        <v>26</v>
      </c>
      <c r="K18" s="2" t="s">
        <v>32</v>
      </c>
      <c r="L18" s="2" t="s">
        <v>100</v>
      </c>
      <c r="M18" s="2" t="s">
        <v>29</v>
      </c>
      <c r="N18" s="2" t="s">
        <v>118</v>
      </c>
    </row>
    <row r="19" spans="1:14" ht="45" x14ac:dyDescent="0.3">
      <c r="A19" s="2" t="s">
        <v>35</v>
      </c>
      <c r="B19" s="2" t="s">
        <v>86</v>
      </c>
      <c r="C19" s="2" t="s">
        <v>342</v>
      </c>
      <c r="D19" s="2"/>
      <c r="E19" s="52" t="s">
        <v>343</v>
      </c>
      <c r="F19" s="37">
        <v>46235</v>
      </c>
      <c r="G19" s="37"/>
      <c r="H19" s="43"/>
      <c r="I19" s="39">
        <v>0.7</v>
      </c>
      <c r="J19" s="2" t="s">
        <v>26</v>
      </c>
      <c r="K19" s="2" t="s">
        <v>32</v>
      </c>
      <c r="L19" s="2" t="s">
        <v>338</v>
      </c>
      <c r="M19" s="2" t="s">
        <v>29</v>
      </c>
      <c r="N19" s="2"/>
    </row>
    <row r="20" spans="1:14" ht="30" x14ac:dyDescent="0.25">
      <c r="A20" s="2" t="s">
        <v>35</v>
      </c>
      <c r="B20" s="2" t="s">
        <v>86</v>
      </c>
      <c r="C20" s="2" t="s">
        <v>127</v>
      </c>
      <c r="D20" s="2"/>
      <c r="E20" s="2" t="s">
        <v>116</v>
      </c>
      <c r="F20" s="37">
        <v>46235</v>
      </c>
      <c r="G20" s="37">
        <v>46360</v>
      </c>
      <c r="H20" s="43">
        <f t="shared" si="0"/>
        <v>90</v>
      </c>
      <c r="I20" s="39">
        <v>0.3</v>
      </c>
      <c r="J20" s="2" t="s">
        <v>26</v>
      </c>
      <c r="K20" s="2" t="s">
        <v>32</v>
      </c>
      <c r="L20" s="2" t="s">
        <v>100</v>
      </c>
      <c r="M20" s="2" t="s">
        <v>29</v>
      </c>
      <c r="N20" s="2" t="s">
        <v>118</v>
      </c>
    </row>
    <row r="21" spans="1:14" ht="45" x14ac:dyDescent="0.3">
      <c r="A21" s="2" t="s">
        <v>35</v>
      </c>
      <c r="B21" s="2" t="s">
        <v>86</v>
      </c>
      <c r="C21" s="2" t="s">
        <v>128</v>
      </c>
      <c r="D21" s="2"/>
      <c r="E21" s="52" t="s">
        <v>344</v>
      </c>
      <c r="F21" s="37">
        <v>46235</v>
      </c>
      <c r="G21" s="37"/>
      <c r="H21" s="43"/>
      <c r="I21" s="39">
        <v>0.7</v>
      </c>
      <c r="J21" s="2" t="s">
        <v>26</v>
      </c>
      <c r="K21" s="2" t="s">
        <v>32</v>
      </c>
      <c r="L21" s="2" t="s">
        <v>338</v>
      </c>
      <c r="M21" s="2" t="s">
        <v>29</v>
      </c>
      <c r="N21" s="2"/>
    </row>
    <row r="22" spans="1:14" ht="30" x14ac:dyDescent="0.25">
      <c r="A22" s="2" t="s">
        <v>35</v>
      </c>
      <c r="B22" s="2" t="s">
        <v>86</v>
      </c>
      <c r="C22" s="2" t="s">
        <v>128</v>
      </c>
      <c r="D22" s="2"/>
      <c r="E22" s="2" t="s">
        <v>116</v>
      </c>
      <c r="F22" s="37">
        <v>46235</v>
      </c>
      <c r="G22" s="37">
        <v>46361</v>
      </c>
      <c r="H22" s="43">
        <f t="shared" si="0"/>
        <v>90</v>
      </c>
      <c r="I22" s="39">
        <v>0.3</v>
      </c>
      <c r="J22" s="2" t="s">
        <v>26</v>
      </c>
      <c r="K22" s="2" t="s">
        <v>32</v>
      </c>
      <c r="L22" s="2" t="s">
        <v>100</v>
      </c>
      <c r="M22" s="2" t="s">
        <v>29</v>
      </c>
      <c r="N22" s="2" t="s">
        <v>118</v>
      </c>
    </row>
    <row r="23" spans="1:14" ht="45" x14ac:dyDescent="0.3">
      <c r="A23" s="2" t="s">
        <v>35</v>
      </c>
      <c r="B23" s="2" t="s">
        <v>86</v>
      </c>
      <c r="C23" s="2" t="s">
        <v>121</v>
      </c>
      <c r="D23" s="2"/>
      <c r="E23" s="52" t="s">
        <v>345</v>
      </c>
      <c r="F23" s="37">
        <v>46235</v>
      </c>
      <c r="G23" s="37"/>
      <c r="H23" s="43"/>
      <c r="I23" s="39">
        <v>0.7</v>
      </c>
      <c r="J23" s="2" t="s">
        <v>26</v>
      </c>
      <c r="K23" s="2" t="s">
        <v>32</v>
      </c>
      <c r="L23" s="2" t="s">
        <v>338</v>
      </c>
      <c r="M23" s="2" t="s">
        <v>29</v>
      </c>
      <c r="N23" s="2"/>
    </row>
    <row r="24" spans="1:14" ht="30" x14ac:dyDescent="0.25">
      <c r="A24" s="2" t="s">
        <v>35</v>
      </c>
      <c r="B24" s="2" t="s">
        <v>86</v>
      </c>
      <c r="C24" s="2" t="s">
        <v>121</v>
      </c>
      <c r="D24" s="2"/>
      <c r="E24" s="2" t="s">
        <v>116</v>
      </c>
      <c r="F24" s="37">
        <v>46235</v>
      </c>
      <c r="G24" s="37">
        <v>46362</v>
      </c>
      <c r="H24" s="43">
        <f t="shared" si="0"/>
        <v>90</v>
      </c>
      <c r="I24" s="39">
        <v>0.3</v>
      </c>
      <c r="J24" s="2" t="s">
        <v>26</v>
      </c>
      <c r="K24" s="2" t="s">
        <v>32</v>
      </c>
      <c r="L24" s="2" t="s">
        <v>100</v>
      </c>
      <c r="M24" s="2" t="s">
        <v>29</v>
      </c>
      <c r="N24" s="2" t="s">
        <v>118</v>
      </c>
    </row>
    <row r="25" spans="1:14" ht="30" x14ac:dyDescent="0.25">
      <c r="A25" s="2" t="s">
        <v>35</v>
      </c>
      <c r="B25" s="2" t="s">
        <v>82</v>
      </c>
      <c r="C25" s="2"/>
      <c r="D25" s="2"/>
      <c r="E25" s="2" t="s">
        <v>131</v>
      </c>
      <c r="F25" s="37">
        <v>46235</v>
      </c>
      <c r="G25" s="37">
        <v>46362</v>
      </c>
      <c r="H25" s="43">
        <f>NETWORKDAYS(F25,G25)</f>
        <v>90</v>
      </c>
      <c r="I25" s="39">
        <v>0.5</v>
      </c>
      <c r="J25" s="2" t="s">
        <v>40</v>
      </c>
      <c r="K25" s="2" t="s">
        <v>32</v>
      </c>
      <c r="L25" s="2" t="s">
        <v>100</v>
      </c>
      <c r="M25" s="2" t="s">
        <v>29</v>
      </c>
      <c r="N25" s="2" t="s">
        <v>118</v>
      </c>
    </row>
    <row r="26" spans="1:14" ht="30" x14ac:dyDescent="0.25">
      <c r="A26" s="2" t="s">
        <v>35</v>
      </c>
      <c r="B26" s="2" t="s">
        <v>83</v>
      </c>
      <c r="C26" s="2"/>
      <c r="D26" s="2"/>
      <c r="E26" s="2" t="s">
        <v>131</v>
      </c>
      <c r="F26" s="37">
        <v>46235</v>
      </c>
      <c r="G26" s="37">
        <v>46362</v>
      </c>
      <c r="H26" s="43">
        <f>NETWORKDAYS(F26,G26)</f>
        <v>90</v>
      </c>
      <c r="I26" s="39">
        <v>0.5</v>
      </c>
      <c r="J26" s="2" t="s">
        <v>40</v>
      </c>
      <c r="K26" s="2" t="s">
        <v>32</v>
      </c>
      <c r="L26" s="2" t="s">
        <v>100</v>
      </c>
      <c r="M26" s="2" t="s">
        <v>29</v>
      </c>
      <c r="N26" s="2" t="s">
        <v>118</v>
      </c>
    </row>
    <row r="27" spans="1:14" ht="30" x14ac:dyDescent="0.25">
      <c r="A27" s="2" t="s">
        <v>35</v>
      </c>
      <c r="B27" s="2" t="s">
        <v>129</v>
      </c>
      <c r="C27" s="2"/>
      <c r="D27" s="2"/>
      <c r="E27" s="2" t="s">
        <v>131</v>
      </c>
      <c r="F27" s="37">
        <v>46235</v>
      </c>
      <c r="G27" s="37">
        <v>46362</v>
      </c>
      <c r="H27" s="43">
        <f>NETWORKDAYS(F27,G27)</f>
        <v>90</v>
      </c>
      <c r="I27" s="39">
        <v>0.5</v>
      </c>
      <c r="J27" s="2" t="s">
        <v>40</v>
      </c>
      <c r="K27" s="2" t="s">
        <v>32</v>
      </c>
      <c r="L27" s="2" t="s">
        <v>100</v>
      </c>
      <c r="M27" s="2" t="s">
        <v>29</v>
      </c>
      <c r="N27" s="2" t="s">
        <v>118</v>
      </c>
    </row>
    <row r="28" spans="1:14" ht="30" x14ac:dyDescent="0.25">
      <c r="A28" s="2" t="s">
        <v>35</v>
      </c>
      <c r="B28" s="2" t="s">
        <v>130</v>
      </c>
      <c r="C28" s="2"/>
      <c r="D28" s="2"/>
      <c r="E28" s="2" t="s">
        <v>131</v>
      </c>
      <c r="F28" s="37">
        <v>46235</v>
      </c>
      <c r="G28" s="37">
        <v>46362</v>
      </c>
      <c r="H28" s="43">
        <f>NETWORKDAYS(F28,G28)</f>
        <v>90</v>
      </c>
      <c r="I28" s="39">
        <v>0.5</v>
      </c>
      <c r="J28" s="2" t="s">
        <v>40</v>
      </c>
      <c r="K28" s="2" t="s">
        <v>32</v>
      </c>
      <c r="L28" s="2" t="s">
        <v>100</v>
      </c>
      <c r="M28" s="2" t="s">
        <v>29</v>
      </c>
      <c r="N28" s="2" t="s">
        <v>118</v>
      </c>
    </row>
    <row r="29" spans="1:14" ht="60" x14ac:dyDescent="0.25">
      <c r="A29" s="2" t="s">
        <v>35</v>
      </c>
      <c r="B29" s="2" t="s">
        <v>353</v>
      </c>
      <c r="C29" s="2"/>
      <c r="D29" s="2"/>
      <c r="E29" s="2" t="s">
        <v>354</v>
      </c>
      <c r="F29" s="37">
        <v>46235</v>
      </c>
      <c r="G29" s="37">
        <v>46362</v>
      </c>
      <c r="H29" s="43">
        <f>NETWORKDAYS(F29,G29)</f>
        <v>90</v>
      </c>
      <c r="I29" s="39">
        <v>0.1</v>
      </c>
      <c r="J29" s="2" t="s">
        <v>40</v>
      </c>
      <c r="K29" s="2" t="s">
        <v>32</v>
      </c>
      <c r="L29" s="2" t="s">
        <v>100</v>
      </c>
      <c r="M29" s="2" t="s">
        <v>29</v>
      </c>
      <c r="N29" s="2" t="s">
        <v>357</v>
      </c>
    </row>
    <row r="30" spans="1:14" ht="30" x14ac:dyDescent="0.25">
      <c r="A30" s="2" t="s">
        <v>35</v>
      </c>
      <c r="B30" s="2" t="s">
        <v>86</v>
      </c>
      <c r="C30" s="2" t="s">
        <v>102</v>
      </c>
      <c r="D30" s="2" t="s">
        <v>102</v>
      </c>
      <c r="E30" s="2" t="s">
        <v>142</v>
      </c>
      <c r="F30" s="37" t="s">
        <v>65</v>
      </c>
      <c r="G30" s="37" t="s">
        <v>65</v>
      </c>
      <c r="H30" s="37" t="s">
        <v>65</v>
      </c>
      <c r="I30" s="2"/>
      <c r="J30" s="2"/>
      <c r="K30" s="2"/>
      <c r="L30" s="2" t="s">
        <v>143</v>
      </c>
      <c r="M30" s="2" t="s">
        <v>29</v>
      </c>
      <c r="N30" s="2" t="s">
        <v>356</v>
      </c>
    </row>
    <row r="31" spans="1:14" x14ac:dyDescent="0.25">
      <c r="A31" s="2"/>
      <c r="B31" s="2"/>
      <c r="C31" s="2"/>
      <c r="D31" s="2"/>
      <c r="E31" s="2"/>
      <c r="F31" s="37"/>
      <c r="G31" s="37"/>
      <c r="H31" s="43"/>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si="0"/>
        <v>0</v>
      </c>
      <c r="I69" s="2"/>
      <c r="J69" s="2"/>
      <c r="K69" s="2"/>
      <c r="L69" s="2"/>
      <c r="M69" s="2"/>
      <c r="N69" s="2"/>
    </row>
    <row r="70" spans="1:14" x14ac:dyDescent="0.25">
      <c r="A70" s="2"/>
      <c r="B70" s="2"/>
      <c r="C70" s="2"/>
      <c r="D70" s="2"/>
      <c r="E70" s="2"/>
      <c r="F70" s="37"/>
      <c r="G70" s="37"/>
      <c r="H70" s="43">
        <f t="shared" si="0"/>
        <v>0</v>
      </c>
      <c r="I70" s="2"/>
      <c r="J70" s="2"/>
      <c r="K70" s="2"/>
      <c r="L70" s="2"/>
      <c r="M70" s="2"/>
      <c r="N70" s="2"/>
    </row>
    <row r="71" spans="1:14" x14ac:dyDescent="0.25">
      <c r="A71" s="2"/>
      <c r="B71" s="2"/>
      <c r="C71" s="2"/>
      <c r="D71" s="2"/>
      <c r="E71" s="2"/>
      <c r="F71" s="37"/>
      <c r="G71" s="37"/>
      <c r="H71" s="43">
        <f t="shared" si="0"/>
        <v>0</v>
      </c>
      <c r="I71" s="2"/>
      <c r="J71" s="2"/>
      <c r="K71" s="2"/>
      <c r="L71" s="2"/>
      <c r="M71" s="2"/>
      <c r="N71" s="2"/>
    </row>
    <row r="72" spans="1:14" x14ac:dyDescent="0.25">
      <c r="A72" s="2"/>
      <c r="B72" s="2"/>
      <c r="C72" s="2"/>
      <c r="D72" s="2"/>
      <c r="E72" s="2"/>
      <c r="F72" s="37"/>
      <c r="G72" s="37"/>
      <c r="H72" s="43">
        <f t="shared" si="0"/>
        <v>0</v>
      </c>
      <c r="I72" s="2"/>
      <c r="J72" s="2"/>
      <c r="K72" s="2"/>
      <c r="L72" s="2"/>
      <c r="M72" s="2"/>
      <c r="N72" s="2"/>
    </row>
    <row r="73" spans="1:14" x14ac:dyDescent="0.25">
      <c r="A73" s="2"/>
      <c r="B73" s="2"/>
      <c r="C73" s="2"/>
      <c r="D73" s="2"/>
      <c r="E73" s="2"/>
      <c r="F73" s="37"/>
      <c r="G73" s="37"/>
      <c r="H73" s="43">
        <f t="shared" si="0"/>
        <v>0</v>
      </c>
      <c r="I73" s="2"/>
      <c r="J73" s="2"/>
      <c r="K73" s="2"/>
      <c r="L73" s="2"/>
      <c r="M73" s="2"/>
      <c r="N73" s="2"/>
    </row>
    <row r="74" spans="1:14" x14ac:dyDescent="0.25">
      <c r="A74" s="2"/>
      <c r="B74" s="2"/>
      <c r="C74" s="2"/>
      <c r="D74" s="2"/>
      <c r="E74" s="2"/>
      <c r="F74" s="37"/>
      <c r="G74" s="37"/>
      <c r="H74" s="43">
        <f t="shared" si="0"/>
        <v>0</v>
      </c>
      <c r="I74" s="2"/>
      <c r="J74" s="2"/>
      <c r="K74" s="2"/>
      <c r="L74" s="2"/>
      <c r="M74" s="2"/>
      <c r="N74" s="2"/>
    </row>
    <row r="75" spans="1:14" x14ac:dyDescent="0.25">
      <c r="A75" s="2"/>
      <c r="B75" s="2"/>
      <c r="C75" s="2"/>
      <c r="D75" s="2"/>
      <c r="E75" s="2"/>
      <c r="F75" s="37"/>
      <c r="G75" s="37"/>
      <c r="H75" s="43">
        <f t="shared" si="0"/>
        <v>0</v>
      </c>
      <c r="I75" s="2"/>
      <c r="J75" s="2"/>
      <c r="K75" s="2"/>
      <c r="L75" s="2"/>
      <c r="M75" s="2"/>
      <c r="N75" s="2"/>
    </row>
    <row r="76" spans="1:14" x14ac:dyDescent="0.25">
      <c r="A76" s="2"/>
      <c r="B76" s="2"/>
      <c r="C76" s="2"/>
      <c r="D76" s="2"/>
      <c r="E76" s="2"/>
      <c r="F76" s="37"/>
      <c r="G76" s="37"/>
      <c r="H76" s="43">
        <f t="shared" si="0"/>
        <v>0</v>
      </c>
      <c r="I76" s="2"/>
      <c r="J76" s="2"/>
      <c r="K76" s="2"/>
      <c r="L76" s="2"/>
      <c r="M76" s="2"/>
      <c r="N76" s="2"/>
    </row>
    <row r="77" spans="1:14" x14ac:dyDescent="0.25">
      <c r="A77" s="2"/>
      <c r="B77" s="2"/>
      <c r="C77" s="2"/>
      <c r="D77" s="2"/>
      <c r="E77" s="2"/>
      <c r="F77" s="37"/>
      <c r="G77" s="37"/>
      <c r="H77" s="43">
        <f t="shared" si="0"/>
        <v>0</v>
      </c>
      <c r="I77" s="2"/>
      <c r="J77" s="2"/>
      <c r="K77" s="2"/>
      <c r="L77" s="2"/>
      <c r="M77" s="2"/>
      <c r="N77" s="2"/>
    </row>
    <row r="78" spans="1:14" x14ac:dyDescent="0.25">
      <c r="A78" s="2"/>
      <c r="B78" s="2"/>
      <c r="C78" s="2"/>
      <c r="D78" s="2"/>
      <c r="E78" s="2"/>
      <c r="F78" s="37"/>
      <c r="G78" s="37"/>
      <c r="H78" s="43">
        <f t="shared" ref="H78:H141" si="1">NETWORKDAYS(F78,G78)</f>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si="1"/>
        <v>0</v>
      </c>
      <c r="I133" s="2"/>
      <c r="J133" s="2"/>
      <c r="K133" s="2"/>
      <c r="L133" s="2"/>
      <c r="M133" s="2"/>
      <c r="N133" s="2"/>
    </row>
    <row r="134" spans="1:14" x14ac:dyDescent="0.25">
      <c r="A134" s="2"/>
      <c r="B134" s="2"/>
      <c r="C134" s="2"/>
      <c r="D134" s="2"/>
      <c r="E134" s="2"/>
      <c r="F134" s="37"/>
      <c r="G134" s="37"/>
      <c r="H134" s="43">
        <f t="shared" si="1"/>
        <v>0</v>
      </c>
      <c r="I134" s="2"/>
      <c r="J134" s="2"/>
      <c r="K134" s="2"/>
      <c r="L134" s="2"/>
      <c r="M134" s="2"/>
      <c r="N134" s="2"/>
    </row>
    <row r="135" spans="1:14" x14ac:dyDescent="0.25">
      <c r="A135" s="2"/>
      <c r="B135" s="2"/>
      <c r="C135" s="2"/>
      <c r="D135" s="2"/>
      <c r="E135" s="2"/>
      <c r="F135" s="37"/>
      <c r="G135" s="37"/>
      <c r="H135" s="43">
        <f t="shared" si="1"/>
        <v>0</v>
      </c>
      <c r="I135" s="2"/>
      <c r="J135" s="2"/>
      <c r="K135" s="2"/>
      <c r="L135" s="2"/>
      <c r="M135" s="2"/>
      <c r="N135" s="2"/>
    </row>
    <row r="136" spans="1:14" x14ac:dyDescent="0.25">
      <c r="A136" s="2"/>
      <c r="B136" s="2"/>
      <c r="C136" s="2"/>
      <c r="D136" s="2"/>
      <c r="E136" s="2"/>
      <c r="F136" s="37"/>
      <c r="G136" s="37"/>
      <c r="H136" s="43">
        <f t="shared" si="1"/>
        <v>0</v>
      </c>
      <c r="I136" s="2"/>
      <c r="J136" s="2"/>
      <c r="K136" s="2"/>
      <c r="L136" s="2"/>
      <c r="M136" s="2"/>
      <c r="N136" s="2"/>
    </row>
    <row r="137" spans="1:14" x14ac:dyDescent="0.25">
      <c r="A137" s="2"/>
      <c r="B137" s="2"/>
      <c r="C137" s="2"/>
      <c r="D137" s="2"/>
      <c r="E137" s="2"/>
      <c r="F137" s="37"/>
      <c r="G137" s="37"/>
      <c r="H137" s="43">
        <f t="shared" si="1"/>
        <v>0</v>
      </c>
      <c r="I137" s="2"/>
      <c r="J137" s="2"/>
      <c r="K137" s="2"/>
      <c r="L137" s="2"/>
      <c r="M137" s="2"/>
      <c r="N137" s="2"/>
    </row>
    <row r="138" spans="1:14" x14ac:dyDescent="0.25">
      <c r="A138" s="2"/>
      <c r="B138" s="2"/>
      <c r="C138" s="2"/>
      <c r="D138" s="2"/>
      <c r="E138" s="2"/>
      <c r="F138" s="37"/>
      <c r="G138" s="37"/>
      <c r="H138" s="43">
        <f t="shared" si="1"/>
        <v>0</v>
      </c>
      <c r="I138" s="2"/>
      <c r="J138" s="2"/>
      <c r="K138" s="2"/>
      <c r="L138" s="2"/>
      <c r="M138" s="2"/>
      <c r="N138" s="2"/>
    </row>
    <row r="139" spans="1:14" x14ac:dyDescent="0.25">
      <c r="A139" s="2"/>
      <c r="B139" s="2"/>
      <c r="C139" s="2"/>
      <c r="D139" s="2"/>
      <c r="E139" s="2"/>
      <c r="F139" s="37"/>
      <c r="G139" s="37"/>
      <c r="H139" s="43">
        <f t="shared" si="1"/>
        <v>0</v>
      </c>
      <c r="I139" s="2"/>
      <c r="J139" s="2"/>
      <c r="K139" s="2"/>
      <c r="L139" s="2"/>
      <c r="M139" s="2"/>
      <c r="N139" s="2"/>
    </row>
    <row r="140" spans="1:14" x14ac:dyDescent="0.25">
      <c r="A140" s="2"/>
      <c r="B140" s="2"/>
      <c r="C140" s="2"/>
      <c r="D140" s="2"/>
      <c r="E140" s="2"/>
      <c r="F140" s="37"/>
      <c r="G140" s="37"/>
      <c r="H140" s="43">
        <f t="shared" si="1"/>
        <v>0</v>
      </c>
      <c r="I140" s="2"/>
      <c r="J140" s="2"/>
      <c r="K140" s="2"/>
      <c r="L140" s="2"/>
      <c r="M140" s="2"/>
      <c r="N140" s="2"/>
    </row>
    <row r="141" spans="1:14" x14ac:dyDescent="0.25">
      <c r="A141" s="2"/>
      <c r="B141" s="2"/>
      <c r="C141" s="2"/>
      <c r="D141" s="2"/>
      <c r="E141" s="2"/>
      <c r="F141" s="37"/>
      <c r="G141" s="37"/>
      <c r="H141" s="43">
        <f t="shared" si="1"/>
        <v>0</v>
      </c>
      <c r="I141" s="2"/>
      <c r="J141" s="2"/>
      <c r="K141" s="2"/>
      <c r="L141" s="2"/>
      <c r="M141" s="2"/>
      <c r="N141" s="2"/>
    </row>
    <row r="142" spans="1:14" x14ac:dyDescent="0.25">
      <c r="A142" s="2"/>
      <c r="B142" s="2"/>
      <c r="C142" s="2"/>
      <c r="D142" s="2"/>
      <c r="E142" s="2"/>
      <c r="F142" s="37"/>
      <c r="G142" s="37"/>
      <c r="H142" s="43">
        <f t="shared" ref="H142:H149" si="2">NETWORKDAYS(F142,G142)</f>
        <v>0</v>
      </c>
      <c r="I142" s="2"/>
      <c r="J142" s="2"/>
      <c r="K142" s="2"/>
      <c r="L142" s="2"/>
      <c r="M142" s="2"/>
      <c r="N142" s="2"/>
    </row>
    <row r="143" spans="1:14" x14ac:dyDescent="0.25">
      <c r="A143" s="2"/>
      <c r="B143" s="2"/>
      <c r="C143" s="2"/>
      <c r="D143" s="2"/>
      <c r="E143" s="2"/>
      <c r="F143" s="37"/>
      <c r="G143" s="37"/>
      <c r="H143" s="43">
        <f t="shared" si="2"/>
        <v>0</v>
      </c>
      <c r="I143" s="2"/>
      <c r="J143" s="2"/>
      <c r="K143" s="2"/>
      <c r="L143" s="2"/>
      <c r="M143" s="2"/>
      <c r="N143" s="2"/>
    </row>
    <row r="144" spans="1:14" x14ac:dyDescent="0.25">
      <c r="A144" s="2"/>
      <c r="B144" s="2"/>
      <c r="C144" s="2"/>
      <c r="D144" s="2"/>
      <c r="E144" s="2"/>
      <c r="F144" s="37"/>
      <c r="G144" s="37"/>
      <c r="H144" s="43">
        <f t="shared" si="2"/>
        <v>0</v>
      </c>
      <c r="I144" s="2"/>
      <c r="J144" s="2"/>
      <c r="K144" s="2"/>
      <c r="L144" s="2"/>
      <c r="M144" s="2"/>
      <c r="N144" s="2"/>
    </row>
    <row r="145" spans="1:14" x14ac:dyDescent="0.25">
      <c r="A145" s="2"/>
      <c r="B145" s="2"/>
      <c r="C145" s="2"/>
      <c r="D145" s="2"/>
      <c r="E145" s="2"/>
      <c r="F145" s="37"/>
      <c r="G145" s="37"/>
      <c r="H145" s="43">
        <f t="shared" si="2"/>
        <v>0</v>
      </c>
      <c r="I145" s="2"/>
      <c r="J145" s="2"/>
      <c r="K145" s="2"/>
      <c r="L145" s="2"/>
      <c r="M145" s="2"/>
      <c r="N145" s="2"/>
    </row>
    <row r="146" spans="1:14" x14ac:dyDescent="0.25">
      <c r="A146" s="2"/>
      <c r="B146" s="2"/>
      <c r="C146" s="2"/>
      <c r="D146" s="2"/>
      <c r="E146" s="2"/>
      <c r="F146" s="37"/>
      <c r="G146" s="37"/>
      <c r="H146" s="43">
        <f t="shared" si="2"/>
        <v>0</v>
      </c>
      <c r="I146" s="2"/>
      <c r="J146" s="2"/>
      <c r="K146" s="2"/>
      <c r="L146" s="2"/>
      <c r="M146" s="2"/>
      <c r="N146" s="2"/>
    </row>
    <row r="147" spans="1:14" x14ac:dyDescent="0.25">
      <c r="A147" s="2"/>
      <c r="B147" s="2"/>
      <c r="C147" s="2"/>
      <c r="D147" s="2"/>
      <c r="E147" s="2"/>
      <c r="F147" s="37"/>
      <c r="G147" s="37"/>
      <c r="H147" s="43">
        <f t="shared" si="2"/>
        <v>0</v>
      </c>
      <c r="I147" s="2"/>
      <c r="J147" s="2"/>
      <c r="K147" s="2"/>
      <c r="L147" s="2"/>
      <c r="M147" s="2"/>
      <c r="N147" s="2"/>
    </row>
    <row r="148" spans="1:14" x14ac:dyDescent="0.25">
      <c r="A148" s="2"/>
      <c r="B148" s="2"/>
      <c r="C148" s="2"/>
      <c r="D148" s="2"/>
      <c r="E148" s="2"/>
      <c r="F148" s="37"/>
      <c r="G148" s="37"/>
      <c r="H148" s="43">
        <f t="shared" si="2"/>
        <v>0</v>
      </c>
      <c r="I148" s="2"/>
      <c r="J148" s="2"/>
      <c r="K148" s="2"/>
      <c r="L148" s="2"/>
      <c r="M148" s="2"/>
      <c r="N148" s="2"/>
    </row>
    <row r="149" spans="1:14" x14ac:dyDescent="0.25">
      <c r="A149" s="2"/>
      <c r="B149" s="2"/>
      <c r="C149" s="2"/>
      <c r="D149" s="2"/>
      <c r="E149" s="2"/>
      <c r="F149" s="37"/>
      <c r="G149" s="37"/>
      <c r="H149" s="43">
        <f t="shared" si="2"/>
        <v>0</v>
      </c>
      <c r="I149" s="2"/>
      <c r="J149" s="2"/>
      <c r="K149" s="2"/>
      <c r="L149" s="2"/>
      <c r="M149" s="2"/>
      <c r="N149" s="2"/>
    </row>
  </sheetData>
  <dataValidations count="5">
    <dataValidation type="list" sqref="N4 M4:M149 N6:N149" xr:uid="{3B51EDED-E804-4FB5-AA50-EF0E07BB1A70}">
      <formula1>"TBC,Not Started,In Progress,Ready,Blocked,Complete,N/A"</formula1>
    </dataValidation>
    <dataValidation type="list" allowBlank="1" showInputMessage="1" showErrorMessage="1" sqref="J4:J149" xr:uid="{32F5285C-FE27-4781-A3FB-E50B0DBC81DC}">
      <formula1>"Critical,High,Medium,Low"</formula1>
    </dataValidation>
    <dataValidation type="list" allowBlank="1" showInputMessage="1" showErrorMessage="1" sqref="I4:I149" xr:uid="{0633531A-9B53-469A-9832-40FCBDFE72CF}">
      <formula1>"10%,20%,30%,40%,50%,60%,70%,80%,90%,100%"</formula1>
    </dataValidation>
    <dataValidation type="list" allowBlank="1" showInputMessage="1" showErrorMessage="1" sqref="K4:K149" xr:uid="{E34162A1-EFA5-4F7A-BF02-EB4593A5130F}">
      <formula1>"Yes,No"</formula1>
    </dataValidation>
    <dataValidation type="list" allowBlank="1" showInputMessage="1" showErrorMessage="1" sqref="A4:A149" xr:uid="{330BDC0C-EE21-42B4-8A8A-D655BDAFBC0C}">
      <formula1>"Public Web,Secure Web"</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D430-616A-4012-8647-17C7B260E91D}">
  <dimension ref="A1:N138"/>
  <sheetViews>
    <sheetView workbookViewId="0">
      <selection activeCell="F11" sqref="F11:G11"/>
    </sheetView>
  </sheetViews>
  <sheetFormatPr defaultColWidth="38.7109375" defaultRowHeight="15" x14ac:dyDescent="0.25"/>
  <cols>
    <col min="1" max="1" width="20.42578125" customWidth="1"/>
    <col min="2" max="2" width="28.140625" customWidth="1"/>
    <col min="3" max="3" width="26.7109375" customWidth="1"/>
    <col min="4" max="4" width="25.7109375" customWidth="1"/>
    <col min="6" max="7" width="19.2851562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32" t="s">
        <v>16</v>
      </c>
      <c r="B1" s="32" t="s">
        <v>23</v>
      </c>
    </row>
    <row r="2" spans="1:14" ht="21.75" x14ac:dyDescent="0.25">
      <c r="A2" s="32" t="s">
        <v>1</v>
      </c>
      <c r="B2" s="32"/>
    </row>
    <row r="3" spans="1:14" ht="60" x14ac:dyDescent="0.25">
      <c r="A3" s="33" t="s">
        <v>2</v>
      </c>
      <c r="B3" s="33" t="s">
        <v>3</v>
      </c>
      <c r="C3" s="34" t="s">
        <v>4</v>
      </c>
      <c r="D3" s="35" t="s">
        <v>5</v>
      </c>
      <c r="E3" s="33" t="s">
        <v>6</v>
      </c>
      <c r="F3" s="33" t="s">
        <v>7</v>
      </c>
      <c r="G3" s="33" t="s">
        <v>8</v>
      </c>
      <c r="H3" s="33" t="s">
        <v>9</v>
      </c>
      <c r="I3" s="33" t="s">
        <v>10</v>
      </c>
      <c r="J3" s="33" t="s">
        <v>11</v>
      </c>
      <c r="K3" s="36" t="s">
        <v>12</v>
      </c>
      <c r="L3" s="36" t="s">
        <v>13</v>
      </c>
      <c r="M3" s="35" t="s">
        <v>14</v>
      </c>
      <c r="N3" s="45" t="s">
        <v>15</v>
      </c>
    </row>
    <row r="4" spans="1:14" ht="45" x14ac:dyDescent="0.25">
      <c r="A4" s="2" t="s">
        <v>35</v>
      </c>
      <c r="B4" s="2" t="s">
        <v>24</v>
      </c>
      <c r="C4" s="2" t="s">
        <v>24</v>
      </c>
      <c r="D4" s="2" t="s">
        <v>24</v>
      </c>
      <c r="E4" s="2" t="s">
        <v>25</v>
      </c>
      <c r="F4" s="37">
        <v>46177</v>
      </c>
      <c r="G4" s="37">
        <v>46177</v>
      </c>
      <c r="H4" s="43">
        <f>NETWORKDAYS(F4,G4)</f>
        <v>1</v>
      </c>
      <c r="I4" s="39">
        <v>1</v>
      </c>
      <c r="J4" s="2" t="s">
        <v>26</v>
      </c>
      <c r="K4" s="2" t="s">
        <v>27</v>
      </c>
      <c r="L4" s="2" t="s">
        <v>28</v>
      </c>
      <c r="M4" s="2" t="s">
        <v>68</v>
      </c>
      <c r="N4" s="2" t="s">
        <v>111</v>
      </c>
    </row>
    <row r="5" spans="1:14" x14ac:dyDescent="0.25">
      <c r="A5" s="2" t="s">
        <v>35</v>
      </c>
      <c r="B5" s="2" t="s">
        <v>24</v>
      </c>
      <c r="C5" s="2" t="s">
        <v>24</v>
      </c>
      <c r="D5" s="2" t="s">
        <v>24</v>
      </c>
      <c r="E5" s="2" t="s">
        <v>42</v>
      </c>
      <c r="F5" s="37">
        <v>46327</v>
      </c>
      <c r="G5" s="37">
        <v>46356</v>
      </c>
      <c r="H5" s="43">
        <f t="shared" ref="H5:H66" si="0">NETWORKDAYS(F5,G5)</f>
        <v>21</v>
      </c>
      <c r="I5" s="39">
        <v>1</v>
      </c>
      <c r="J5" s="2" t="s">
        <v>43</v>
      </c>
      <c r="K5" s="2" t="s">
        <v>27</v>
      </c>
      <c r="L5" s="2" t="s">
        <v>28</v>
      </c>
      <c r="M5" s="2" t="s">
        <v>29</v>
      </c>
      <c r="N5" s="2"/>
    </row>
    <row r="6" spans="1:14" ht="30" x14ac:dyDescent="0.25">
      <c r="A6" s="2" t="s">
        <v>35</v>
      </c>
      <c r="B6" s="2" t="s">
        <v>24</v>
      </c>
      <c r="C6" s="2" t="s">
        <v>24</v>
      </c>
      <c r="D6" s="2" t="s">
        <v>24</v>
      </c>
      <c r="E6" s="2" t="s">
        <v>44</v>
      </c>
      <c r="F6" s="37">
        <v>46327</v>
      </c>
      <c r="G6" s="37">
        <v>46356</v>
      </c>
      <c r="H6" s="43">
        <f t="shared" si="0"/>
        <v>21</v>
      </c>
      <c r="I6" s="39">
        <v>1</v>
      </c>
      <c r="J6" s="2" t="s">
        <v>43</v>
      </c>
      <c r="K6" s="2" t="s">
        <v>32</v>
      </c>
      <c r="L6" s="2" t="s">
        <v>45</v>
      </c>
      <c r="M6" s="2"/>
      <c r="N6" s="2"/>
    </row>
    <row r="7" spans="1:14" ht="75" x14ac:dyDescent="0.25">
      <c r="A7" s="2" t="s">
        <v>35</v>
      </c>
      <c r="B7" s="2" t="s">
        <v>24</v>
      </c>
      <c r="C7" s="2" t="s">
        <v>24</v>
      </c>
      <c r="D7" s="2" t="s">
        <v>24</v>
      </c>
      <c r="E7" s="2" t="s">
        <v>47</v>
      </c>
      <c r="F7" s="37">
        <v>46266</v>
      </c>
      <c r="G7" s="37">
        <v>46356</v>
      </c>
      <c r="H7" s="43">
        <f t="shared" si="0"/>
        <v>65</v>
      </c>
      <c r="I7" s="39">
        <v>0.7</v>
      </c>
      <c r="J7" s="2" t="s">
        <v>43</v>
      </c>
      <c r="K7" s="2" t="s">
        <v>32</v>
      </c>
      <c r="L7" s="2" t="s">
        <v>46</v>
      </c>
      <c r="M7" s="2" t="s">
        <v>29</v>
      </c>
      <c r="N7" s="2"/>
    </row>
    <row r="8" spans="1:14" x14ac:dyDescent="0.25">
      <c r="A8" s="2" t="s">
        <v>35</v>
      </c>
      <c r="B8" s="2" t="s">
        <v>24</v>
      </c>
      <c r="C8" s="2" t="s">
        <v>24</v>
      </c>
      <c r="D8" s="2" t="s">
        <v>24</v>
      </c>
      <c r="E8" s="2" t="s">
        <v>48</v>
      </c>
      <c r="F8" s="37">
        <v>46266</v>
      </c>
      <c r="G8" s="37">
        <v>46356</v>
      </c>
      <c r="H8" s="43">
        <f t="shared" si="0"/>
        <v>65</v>
      </c>
      <c r="I8" s="39">
        <v>0.8</v>
      </c>
      <c r="J8" s="2" t="s">
        <v>43</v>
      </c>
      <c r="K8" s="2" t="s">
        <v>27</v>
      </c>
      <c r="L8" s="2" t="s">
        <v>28</v>
      </c>
      <c r="M8" s="2" t="s">
        <v>29</v>
      </c>
      <c r="N8" s="2"/>
    </row>
    <row r="9" spans="1:14" ht="33.75" customHeight="1" x14ac:dyDescent="0.25">
      <c r="A9" s="2" t="s">
        <v>35</v>
      </c>
      <c r="B9" s="2" t="s">
        <v>24</v>
      </c>
      <c r="C9" s="2" t="s">
        <v>24</v>
      </c>
      <c r="D9" s="2" t="s">
        <v>24</v>
      </c>
      <c r="E9" s="2" t="s">
        <v>49</v>
      </c>
      <c r="F9" s="37">
        <v>46342</v>
      </c>
      <c r="G9" s="37">
        <v>46356</v>
      </c>
      <c r="H9" s="43">
        <f t="shared" si="0"/>
        <v>11</v>
      </c>
      <c r="I9" s="39">
        <v>0.5</v>
      </c>
      <c r="J9" s="2" t="s">
        <v>43</v>
      </c>
      <c r="K9" s="2" t="s">
        <v>32</v>
      </c>
      <c r="L9" s="2" t="s">
        <v>50</v>
      </c>
      <c r="M9" s="2" t="s">
        <v>29</v>
      </c>
      <c r="N9" s="2"/>
    </row>
    <row r="10" spans="1:14" ht="30" x14ac:dyDescent="0.25">
      <c r="A10" s="2" t="s">
        <v>35</v>
      </c>
      <c r="B10" s="2" t="s">
        <v>24</v>
      </c>
      <c r="C10" s="2" t="s">
        <v>24</v>
      </c>
      <c r="D10" s="2" t="s">
        <v>24</v>
      </c>
      <c r="E10" s="2" t="s">
        <v>51</v>
      </c>
      <c r="F10" s="37">
        <v>46355</v>
      </c>
      <c r="G10" s="37">
        <v>46356</v>
      </c>
      <c r="H10" s="43">
        <f t="shared" si="0"/>
        <v>1</v>
      </c>
      <c r="I10" s="39">
        <v>0.5</v>
      </c>
      <c r="J10" s="2" t="s">
        <v>43</v>
      </c>
      <c r="K10" s="2" t="s">
        <v>52</v>
      </c>
      <c r="L10" s="2" t="s">
        <v>53</v>
      </c>
      <c r="M10" s="2" t="s">
        <v>29</v>
      </c>
      <c r="N10" s="2"/>
    </row>
    <row r="11" spans="1:14" x14ac:dyDescent="0.25">
      <c r="A11" s="2" t="s">
        <v>35</v>
      </c>
      <c r="B11" s="2" t="s">
        <v>24</v>
      </c>
      <c r="C11" s="2" t="s">
        <v>24</v>
      </c>
      <c r="D11" s="2" t="s">
        <v>24</v>
      </c>
      <c r="E11" s="2" t="s">
        <v>334</v>
      </c>
      <c r="F11" s="37">
        <v>46177</v>
      </c>
      <c r="G11" s="37">
        <v>46295</v>
      </c>
      <c r="H11" s="43">
        <f t="shared" si="0"/>
        <v>85</v>
      </c>
      <c r="I11" s="39">
        <v>0.1</v>
      </c>
      <c r="J11" s="2" t="s">
        <v>43</v>
      </c>
      <c r="K11" s="2" t="s">
        <v>52</v>
      </c>
      <c r="L11" s="2" t="s">
        <v>335</v>
      </c>
      <c r="M11" s="2" t="s">
        <v>29</v>
      </c>
      <c r="N11" s="70" t="s">
        <v>339</v>
      </c>
    </row>
    <row r="12" spans="1:14" x14ac:dyDescent="0.25">
      <c r="A12" s="2"/>
      <c r="B12" s="2"/>
      <c r="C12" s="2"/>
      <c r="D12" s="2"/>
      <c r="E12" s="2"/>
      <c r="F12" s="37"/>
      <c r="G12" s="37"/>
      <c r="H12" s="43">
        <f t="shared" si="0"/>
        <v>0</v>
      </c>
      <c r="I12" s="2"/>
      <c r="J12" s="2"/>
      <c r="K12" s="2"/>
      <c r="L12" s="2"/>
      <c r="M12" s="2"/>
      <c r="N12" s="2"/>
    </row>
    <row r="13" spans="1:14" x14ac:dyDescent="0.25">
      <c r="A13" s="2"/>
      <c r="B13" s="2"/>
      <c r="C13" s="2"/>
      <c r="D13" s="2"/>
      <c r="E13" s="2"/>
      <c r="F13" s="37"/>
      <c r="G13" s="37"/>
      <c r="H13" s="43">
        <f t="shared" si="0"/>
        <v>0</v>
      </c>
      <c r="I13" s="2"/>
      <c r="J13" s="2"/>
      <c r="K13" s="2"/>
      <c r="L13" s="2"/>
      <c r="M13" s="2"/>
      <c r="N13" s="2"/>
    </row>
    <row r="14" spans="1:14" x14ac:dyDescent="0.25">
      <c r="A14" s="2"/>
      <c r="B14" s="2"/>
      <c r="C14" s="2"/>
      <c r="D14" s="2"/>
      <c r="E14" s="2"/>
      <c r="F14" s="37"/>
      <c r="G14" s="37"/>
      <c r="H14" s="43">
        <f t="shared" si="0"/>
        <v>0</v>
      </c>
      <c r="I14" s="2"/>
      <c r="J14" s="2"/>
      <c r="K14" s="2"/>
      <c r="L14" s="2"/>
      <c r="M14" s="2"/>
      <c r="N14" s="2"/>
    </row>
    <row r="15" spans="1:14" x14ac:dyDescent="0.25">
      <c r="A15" s="2"/>
      <c r="B15" s="2"/>
      <c r="C15" s="2"/>
      <c r="D15" s="2"/>
      <c r="E15" s="2"/>
      <c r="F15" s="37"/>
      <c r="G15" s="37"/>
      <c r="H15" s="43">
        <f t="shared" si="0"/>
        <v>0</v>
      </c>
      <c r="I15" s="2"/>
      <c r="J15" s="2"/>
      <c r="K15" s="2"/>
      <c r="L15" s="2"/>
      <c r="M15" s="2"/>
      <c r="N15" s="2"/>
    </row>
    <row r="16" spans="1:14" x14ac:dyDescent="0.25">
      <c r="A16" s="2"/>
      <c r="B16" s="2"/>
      <c r="C16" s="2"/>
      <c r="D16" s="2"/>
      <c r="E16" s="2"/>
      <c r="F16" s="37"/>
      <c r="G16" s="37"/>
      <c r="H16" s="43">
        <f t="shared" si="0"/>
        <v>0</v>
      </c>
      <c r="I16" s="2"/>
      <c r="J16" s="2"/>
      <c r="K16" s="2"/>
      <c r="L16" s="2"/>
      <c r="M16" s="2"/>
      <c r="N16" s="2"/>
    </row>
    <row r="17" spans="1:14" x14ac:dyDescent="0.25">
      <c r="A17" s="2"/>
      <c r="B17" s="2"/>
      <c r="C17" s="2"/>
      <c r="D17" s="2"/>
      <c r="E17" s="2"/>
      <c r="F17" s="37"/>
      <c r="G17" s="37"/>
      <c r="H17" s="43">
        <f t="shared" si="0"/>
        <v>0</v>
      </c>
      <c r="I17" s="2"/>
      <c r="J17" s="2"/>
      <c r="K17" s="2"/>
      <c r="L17" s="2"/>
      <c r="M17" s="2"/>
      <c r="N17" s="2"/>
    </row>
    <row r="18" spans="1:14" x14ac:dyDescent="0.25">
      <c r="A18" s="2"/>
      <c r="B18" s="2"/>
      <c r="C18" s="2"/>
      <c r="D18" s="2"/>
      <c r="E18" s="2"/>
      <c r="F18" s="37"/>
      <c r="G18" s="37"/>
      <c r="H18" s="43">
        <f t="shared" si="0"/>
        <v>0</v>
      </c>
      <c r="I18" s="2"/>
      <c r="J18" s="2"/>
      <c r="K18" s="2"/>
      <c r="L18" s="2"/>
      <c r="M18" s="2"/>
      <c r="N18" s="2"/>
    </row>
    <row r="19" spans="1:14" x14ac:dyDescent="0.25">
      <c r="A19" s="2"/>
      <c r="B19" s="2"/>
      <c r="C19" s="2"/>
      <c r="D19" s="2"/>
      <c r="E19" s="2"/>
      <c r="F19" s="37"/>
      <c r="G19" s="37"/>
      <c r="H19" s="43">
        <f t="shared" si="0"/>
        <v>0</v>
      </c>
      <c r="I19" s="2"/>
      <c r="J19" s="2"/>
      <c r="K19" s="2"/>
      <c r="L19" s="2"/>
      <c r="M19" s="2"/>
      <c r="N19" s="2"/>
    </row>
    <row r="20" spans="1:14" x14ac:dyDescent="0.25">
      <c r="A20" s="2"/>
      <c r="B20" s="2"/>
      <c r="C20" s="2"/>
      <c r="D20" s="2"/>
      <c r="E20" s="2"/>
      <c r="F20" s="37"/>
      <c r="G20" s="37"/>
      <c r="H20" s="43">
        <f t="shared" si="0"/>
        <v>0</v>
      </c>
      <c r="I20" s="2"/>
      <c r="J20" s="2"/>
      <c r="K20" s="2"/>
      <c r="L20" s="2"/>
      <c r="M20" s="2"/>
      <c r="N20" s="2"/>
    </row>
    <row r="21" spans="1:14" x14ac:dyDescent="0.25">
      <c r="A21" s="2"/>
      <c r="B21" s="2"/>
      <c r="C21" s="2"/>
      <c r="D21" s="2"/>
      <c r="E21" s="2"/>
      <c r="F21" s="37"/>
      <c r="G21" s="37"/>
      <c r="H21" s="43">
        <f t="shared" si="0"/>
        <v>0</v>
      </c>
      <c r="I21" s="2"/>
      <c r="J21" s="2"/>
      <c r="K21" s="2"/>
      <c r="L21" s="2"/>
      <c r="M21" s="2"/>
      <c r="N21" s="2"/>
    </row>
    <row r="22" spans="1:14" x14ac:dyDescent="0.25">
      <c r="A22" s="2"/>
      <c r="B22" s="2"/>
      <c r="C22" s="2"/>
      <c r="D22" s="2"/>
      <c r="E22" s="2"/>
      <c r="F22" s="37"/>
      <c r="G22" s="37"/>
      <c r="H22" s="43">
        <f t="shared" si="0"/>
        <v>0</v>
      </c>
      <c r="I22" s="2"/>
      <c r="J22" s="2"/>
      <c r="K22" s="2"/>
      <c r="L22" s="2"/>
      <c r="M22" s="2"/>
      <c r="N22" s="2"/>
    </row>
    <row r="23" spans="1:14" x14ac:dyDescent="0.25">
      <c r="A23" s="2"/>
      <c r="B23" s="2"/>
      <c r="C23" s="2"/>
      <c r="D23" s="2"/>
      <c r="E23" s="2"/>
      <c r="F23" s="37"/>
      <c r="G23" s="37"/>
      <c r="H23" s="43">
        <f t="shared" si="0"/>
        <v>0</v>
      </c>
      <c r="I23" s="2"/>
      <c r="J23" s="2"/>
      <c r="K23" s="2"/>
      <c r="L23" s="2"/>
      <c r="M23" s="2"/>
      <c r="N23" s="2"/>
    </row>
    <row r="24" spans="1:14" x14ac:dyDescent="0.25">
      <c r="A24" s="2"/>
      <c r="B24" s="2"/>
      <c r="C24" s="2"/>
      <c r="D24" s="2"/>
      <c r="E24" s="2"/>
      <c r="F24" s="37"/>
      <c r="G24" s="37"/>
      <c r="H24" s="43">
        <f t="shared" si="0"/>
        <v>0</v>
      </c>
      <c r="I24" s="2"/>
      <c r="J24" s="2"/>
      <c r="K24" s="2"/>
      <c r="L24" s="2"/>
      <c r="M24" s="2"/>
      <c r="N24" s="2"/>
    </row>
    <row r="25" spans="1:14" x14ac:dyDescent="0.25">
      <c r="A25" s="2"/>
      <c r="B25" s="2"/>
      <c r="C25" s="2"/>
      <c r="D25" s="2"/>
      <c r="E25" s="2"/>
      <c r="F25" s="37"/>
      <c r="G25" s="37"/>
      <c r="H25" s="43">
        <f t="shared" si="0"/>
        <v>0</v>
      </c>
      <c r="I25" s="2"/>
      <c r="J25" s="2"/>
      <c r="K25" s="2"/>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ref="H67:H130" si="1">NETWORKDAYS(F67,G67)</f>
        <v>0</v>
      </c>
      <c r="I67" s="2"/>
      <c r="J67" s="2"/>
      <c r="K67" s="2"/>
      <c r="L67" s="2"/>
      <c r="M67" s="2"/>
      <c r="N67" s="2"/>
    </row>
    <row r="68" spans="1:14" x14ac:dyDescent="0.25">
      <c r="A68" s="2"/>
      <c r="B68" s="2"/>
      <c r="C68" s="2"/>
      <c r="D68" s="2"/>
      <c r="E68" s="2"/>
      <c r="F68" s="37"/>
      <c r="G68" s="37"/>
      <c r="H68" s="43">
        <f t="shared" si="1"/>
        <v>0</v>
      </c>
      <c r="I68" s="2"/>
      <c r="J68" s="2"/>
      <c r="K68" s="2"/>
      <c r="L68" s="2"/>
      <c r="M68" s="2"/>
      <c r="N68" s="2"/>
    </row>
    <row r="69" spans="1:14" x14ac:dyDescent="0.25">
      <c r="A69" s="2"/>
      <c r="B69" s="2"/>
      <c r="C69" s="2"/>
      <c r="D69" s="2"/>
      <c r="E69" s="2"/>
      <c r="F69" s="37"/>
      <c r="G69" s="37"/>
      <c r="H69" s="43">
        <f t="shared" si="1"/>
        <v>0</v>
      </c>
      <c r="I69" s="2"/>
      <c r="J69" s="2"/>
      <c r="K69" s="2"/>
      <c r="L69" s="2"/>
      <c r="M69" s="2"/>
      <c r="N69" s="2"/>
    </row>
    <row r="70" spans="1:14" x14ac:dyDescent="0.25">
      <c r="A70" s="2"/>
      <c r="B70" s="2"/>
      <c r="C70" s="2"/>
      <c r="D70" s="2"/>
      <c r="E70" s="2"/>
      <c r="F70" s="37"/>
      <c r="G70" s="37"/>
      <c r="H70" s="43">
        <f t="shared" si="1"/>
        <v>0</v>
      </c>
      <c r="I70" s="2"/>
      <c r="J70" s="2"/>
      <c r="K70" s="2"/>
      <c r="L70" s="2"/>
      <c r="M70" s="2"/>
      <c r="N70" s="2"/>
    </row>
    <row r="71" spans="1:14" x14ac:dyDescent="0.25">
      <c r="A71" s="2"/>
      <c r="B71" s="2"/>
      <c r="C71" s="2"/>
      <c r="D71" s="2"/>
      <c r="E71" s="2"/>
      <c r="F71" s="37"/>
      <c r="G71" s="37"/>
      <c r="H71" s="43">
        <f t="shared" si="1"/>
        <v>0</v>
      </c>
      <c r="I71" s="2"/>
      <c r="J71" s="2"/>
      <c r="K71" s="2"/>
      <c r="L71" s="2"/>
      <c r="M71" s="2"/>
      <c r="N71" s="2"/>
    </row>
    <row r="72" spans="1:14" x14ac:dyDescent="0.25">
      <c r="A72" s="2"/>
      <c r="B72" s="2"/>
      <c r="C72" s="2"/>
      <c r="D72" s="2"/>
      <c r="E72" s="2"/>
      <c r="F72" s="37"/>
      <c r="G72" s="37"/>
      <c r="H72" s="43">
        <f t="shared" si="1"/>
        <v>0</v>
      </c>
      <c r="I72" s="2"/>
      <c r="J72" s="2"/>
      <c r="K72" s="2"/>
      <c r="L72" s="2"/>
      <c r="M72" s="2"/>
      <c r="N72" s="2"/>
    </row>
    <row r="73" spans="1:14" x14ac:dyDescent="0.25">
      <c r="A73" s="2"/>
      <c r="B73" s="2"/>
      <c r="C73" s="2"/>
      <c r="D73" s="2"/>
      <c r="E73" s="2"/>
      <c r="F73" s="37"/>
      <c r="G73" s="37"/>
      <c r="H73" s="43">
        <f t="shared" si="1"/>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ref="H131:H138" si="2">NETWORKDAYS(F131,G131)</f>
        <v>0</v>
      </c>
      <c r="I131" s="2"/>
      <c r="J131" s="2"/>
      <c r="K131" s="2"/>
      <c r="L131" s="2"/>
      <c r="M131" s="2"/>
      <c r="N131" s="2"/>
    </row>
    <row r="132" spans="1:14" x14ac:dyDescent="0.25">
      <c r="A132" s="2"/>
      <c r="B132" s="2"/>
      <c r="C132" s="2"/>
      <c r="D132" s="2"/>
      <c r="E132" s="2"/>
      <c r="F132" s="37"/>
      <c r="G132" s="37"/>
      <c r="H132" s="43">
        <f t="shared" si="2"/>
        <v>0</v>
      </c>
      <c r="I132" s="2"/>
      <c r="J132" s="2"/>
      <c r="K132" s="2"/>
      <c r="L132" s="2"/>
      <c r="M132" s="2"/>
      <c r="N132" s="2"/>
    </row>
    <row r="133" spans="1:14" x14ac:dyDescent="0.25">
      <c r="A133" s="2"/>
      <c r="B133" s="2"/>
      <c r="C133" s="2"/>
      <c r="D133" s="2"/>
      <c r="E133" s="2"/>
      <c r="F133" s="37"/>
      <c r="G133" s="37"/>
      <c r="H133" s="43">
        <f t="shared" si="2"/>
        <v>0</v>
      </c>
      <c r="I133" s="2"/>
      <c r="J133" s="2"/>
      <c r="K133" s="2"/>
      <c r="L133" s="2"/>
      <c r="M133" s="2"/>
      <c r="N133" s="2"/>
    </row>
    <row r="134" spans="1:14" x14ac:dyDescent="0.25">
      <c r="A134" s="2"/>
      <c r="B134" s="2"/>
      <c r="C134" s="2"/>
      <c r="D134" s="2"/>
      <c r="E134" s="2"/>
      <c r="F134" s="37"/>
      <c r="G134" s="37"/>
      <c r="H134" s="43">
        <f t="shared" si="2"/>
        <v>0</v>
      </c>
      <c r="I134" s="2"/>
      <c r="J134" s="2"/>
      <c r="K134" s="2"/>
      <c r="L134" s="2"/>
      <c r="M134" s="2"/>
      <c r="N134" s="2"/>
    </row>
    <row r="135" spans="1:14" x14ac:dyDescent="0.25">
      <c r="A135" s="2"/>
      <c r="B135" s="2"/>
      <c r="C135" s="2"/>
      <c r="D135" s="2"/>
      <c r="E135" s="2"/>
      <c r="F135" s="37"/>
      <c r="G135" s="37"/>
      <c r="H135" s="43">
        <f t="shared" si="2"/>
        <v>0</v>
      </c>
      <c r="I135" s="2"/>
      <c r="J135" s="2"/>
      <c r="K135" s="2"/>
      <c r="L135" s="2"/>
      <c r="M135" s="2"/>
      <c r="N135" s="2"/>
    </row>
    <row r="136" spans="1:14" x14ac:dyDescent="0.25">
      <c r="A136" s="2"/>
      <c r="B136" s="2"/>
      <c r="C136" s="2"/>
      <c r="D136" s="2"/>
      <c r="E136" s="2"/>
      <c r="F136" s="37"/>
      <c r="G136" s="37"/>
      <c r="H136" s="43">
        <f t="shared" si="2"/>
        <v>0</v>
      </c>
      <c r="I136" s="2"/>
      <c r="J136" s="2"/>
      <c r="K136" s="2"/>
      <c r="L136" s="2"/>
      <c r="M136" s="2"/>
      <c r="N136" s="2"/>
    </row>
    <row r="137" spans="1:14" x14ac:dyDescent="0.25">
      <c r="A137" s="2"/>
      <c r="B137" s="2"/>
      <c r="C137" s="2"/>
      <c r="D137" s="2"/>
      <c r="E137" s="2"/>
      <c r="F137" s="37"/>
      <c r="G137" s="37"/>
      <c r="H137" s="43">
        <f t="shared" si="2"/>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sheetData>
  <dataValidations count="5">
    <dataValidation type="list" allowBlank="1" showInputMessage="1" showErrorMessage="1" sqref="J4:J138" xr:uid="{B7D58068-81E2-4AA5-B26C-F9228F2A6BC4}">
      <formula1>"Critical,High,Medium,Low"</formula1>
    </dataValidation>
    <dataValidation type="list" sqref="M4:N138" xr:uid="{B50B7720-5D99-4583-AC07-234BDCE12906}">
      <formula1>"TBC,Not Started,In Progress,Ready,Blocked,Complete,N/A"</formula1>
    </dataValidation>
    <dataValidation type="list" allowBlank="1" showInputMessage="1" showErrorMessage="1" sqref="I4:I138" xr:uid="{C1653912-C0A5-47D4-B828-78E85EC0961A}">
      <formula1>"10%,20%,30%,40%,50%,60%,70%,80%,90%,100%"</formula1>
    </dataValidation>
    <dataValidation type="list" allowBlank="1" showInputMessage="1" showErrorMessage="1" sqref="K4:K138" xr:uid="{946DC417-B1A7-4624-AED4-00A7852E82C0}">
      <formula1>"Yes,No"</formula1>
    </dataValidation>
    <dataValidation type="list" allowBlank="1" showInputMessage="1" showErrorMessage="1" sqref="A4:A138" xr:uid="{8F658D93-8C2E-4B8C-B5D6-C64DC0AF9B18}">
      <formula1>"Public Web,Secure Web"</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C060B-D31D-4093-8ABD-7DADD8A6C089}">
  <dimension ref="A1:N140"/>
  <sheetViews>
    <sheetView workbookViewId="0">
      <selection activeCell="E5" sqref="E5"/>
    </sheetView>
  </sheetViews>
  <sheetFormatPr defaultColWidth="38.7109375" defaultRowHeight="15" x14ac:dyDescent="0.25"/>
  <cols>
    <col min="1" max="1" width="20.42578125" customWidth="1"/>
    <col min="2" max="2" width="28.140625" customWidth="1"/>
    <col min="3" max="3" width="26.7109375" customWidth="1"/>
    <col min="4" max="4" width="25.7109375" customWidth="1"/>
    <col min="6" max="7" width="18.4257812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1" t="s">
        <v>16</v>
      </c>
      <c r="B1" s="1" t="s">
        <v>30</v>
      </c>
    </row>
    <row r="2" spans="1:14" ht="21.75" x14ac:dyDescent="0.25">
      <c r="A2" s="1" t="s">
        <v>1</v>
      </c>
      <c r="B2" s="1"/>
    </row>
    <row r="3" spans="1:14" ht="60" x14ac:dyDescent="0.25">
      <c r="A3" s="5" t="s">
        <v>2</v>
      </c>
      <c r="B3" s="5" t="s">
        <v>3</v>
      </c>
      <c r="C3" s="6" t="s">
        <v>4</v>
      </c>
      <c r="D3" s="4" t="s">
        <v>5</v>
      </c>
      <c r="E3" s="5" t="s">
        <v>6</v>
      </c>
      <c r="F3" s="5" t="s">
        <v>7</v>
      </c>
      <c r="G3" s="5" t="s">
        <v>8</v>
      </c>
      <c r="H3" s="5" t="s">
        <v>9</v>
      </c>
      <c r="I3" s="5" t="s">
        <v>10</v>
      </c>
      <c r="J3" s="5" t="s">
        <v>11</v>
      </c>
      <c r="K3" s="3" t="s">
        <v>12</v>
      </c>
      <c r="L3" s="3" t="s">
        <v>13</v>
      </c>
      <c r="M3" s="4" t="s">
        <v>14</v>
      </c>
      <c r="N3" s="44" t="s">
        <v>15</v>
      </c>
    </row>
    <row r="4" spans="1:14" ht="30" x14ac:dyDescent="0.25">
      <c r="A4" s="2" t="s">
        <v>35</v>
      </c>
      <c r="B4" s="2" t="s">
        <v>24</v>
      </c>
      <c r="C4" s="2" t="s">
        <v>24</v>
      </c>
      <c r="D4" s="2" t="s">
        <v>24</v>
      </c>
      <c r="E4" s="2" t="s">
        <v>57</v>
      </c>
      <c r="F4" s="37">
        <v>46181</v>
      </c>
      <c r="G4" s="37">
        <v>46188</v>
      </c>
      <c r="H4" s="43">
        <f>NETWORKDAYS(F4,G4)</f>
        <v>6</v>
      </c>
      <c r="I4" s="39">
        <v>1</v>
      </c>
      <c r="J4" s="2" t="s">
        <v>26</v>
      </c>
      <c r="K4" s="2" t="s">
        <v>27</v>
      </c>
      <c r="L4" s="2" t="s">
        <v>58</v>
      </c>
      <c r="M4" s="2" t="s">
        <v>36</v>
      </c>
      <c r="N4" s="2" t="s">
        <v>59</v>
      </c>
    </row>
    <row r="5" spans="1:14" x14ac:dyDescent="0.25">
      <c r="A5" s="2" t="s">
        <v>35</v>
      </c>
      <c r="B5" s="2" t="s">
        <v>24</v>
      </c>
      <c r="C5" s="2" t="s">
        <v>24</v>
      </c>
      <c r="D5" s="2" t="s">
        <v>24</v>
      </c>
      <c r="E5" s="2" t="s">
        <v>147</v>
      </c>
      <c r="F5" s="37">
        <v>46181</v>
      </c>
      <c r="G5" s="37">
        <v>46188</v>
      </c>
      <c r="H5" s="43">
        <f t="shared" ref="H5:H68" si="0">NETWORKDAYS(F5,G5)</f>
        <v>6</v>
      </c>
      <c r="I5" s="39">
        <v>1</v>
      </c>
      <c r="J5" s="2" t="s">
        <v>26</v>
      </c>
      <c r="K5" s="2" t="s">
        <v>27</v>
      </c>
      <c r="L5" s="2"/>
      <c r="M5" s="2"/>
      <c r="N5" s="2"/>
    </row>
    <row r="6" spans="1:14" x14ac:dyDescent="0.25">
      <c r="A6" s="2"/>
      <c r="B6" s="2"/>
      <c r="C6" s="2"/>
      <c r="D6" s="2"/>
      <c r="E6" s="2"/>
      <c r="F6" s="37"/>
      <c r="G6" s="37"/>
      <c r="H6" s="43">
        <f t="shared" si="0"/>
        <v>0</v>
      </c>
      <c r="I6" s="2"/>
      <c r="J6" s="2"/>
      <c r="K6" s="2"/>
      <c r="L6" s="2"/>
      <c r="M6" s="2"/>
      <c r="N6" s="2"/>
    </row>
    <row r="7" spans="1:14" x14ac:dyDescent="0.25">
      <c r="A7" s="2"/>
      <c r="B7" s="2"/>
      <c r="C7" s="2"/>
      <c r="D7" s="2"/>
      <c r="E7" s="2"/>
      <c r="F7" s="37"/>
      <c r="G7" s="37"/>
      <c r="H7" s="43">
        <f t="shared" si="0"/>
        <v>0</v>
      </c>
      <c r="I7" s="2"/>
      <c r="J7" s="2"/>
      <c r="K7" s="2"/>
      <c r="L7" s="2"/>
      <c r="M7" s="2"/>
      <c r="N7" s="2"/>
    </row>
    <row r="8" spans="1:14" x14ac:dyDescent="0.25">
      <c r="A8" s="2"/>
      <c r="B8" s="2"/>
      <c r="C8" s="2"/>
      <c r="D8" s="2"/>
      <c r="E8" s="2"/>
      <c r="F8" s="37"/>
      <c r="G8" s="37"/>
      <c r="H8" s="43">
        <f t="shared" si="0"/>
        <v>0</v>
      </c>
      <c r="I8" s="2"/>
      <c r="J8" s="2"/>
      <c r="K8" s="2"/>
      <c r="L8" s="2"/>
      <c r="M8" s="2"/>
      <c r="N8" s="2"/>
    </row>
    <row r="9" spans="1:14" x14ac:dyDescent="0.25">
      <c r="A9" s="2"/>
      <c r="B9" s="2"/>
      <c r="C9" s="2"/>
      <c r="D9" s="2"/>
      <c r="E9" s="2"/>
      <c r="F9" s="37"/>
      <c r="G9" s="37"/>
      <c r="H9" s="43">
        <f t="shared" si="0"/>
        <v>0</v>
      </c>
      <c r="I9" s="2"/>
      <c r="J9" s="2"/>
      <c r="K9" s="2"/>
      <c r="L9" s="2"/>
      <c r="M9" s="2"/>
      <c r="N9" s="2"/>
    </row>
    <row r="10" spans="1:14" x14ac:dyDescent="0.25">
      <c r="A10" s="2"/>
      <c r="B10" s="2"/>
      <c r="C10" s="2"/>
      <c r="D10" s="2"/>
      <c r="E10" s="2"/>
      <c r="F10" s="37"/>
      <c r="G10" s="37"/>
      <c r="H10" s="43">
        <f t="shared" si="0"/>
        <v>0</v>
      </c>
      <c r="I10" s="2"/>
      <c r="J10" s="2"/>
      <c r="K10" s="2"/>
      <c r="L10" s="2"/>
      <c r="M10" s="2"/>
      <c r="N10" s="2"/>
    </row>
    <row r="11" spans="1:14" x14ac:dyDescent="0.25">
      <c r="A11" s="2"/>
      <c r="B11" s="2"/>
      <c r="C11" s="2"/>
      <c r="D11" s="2"/>
      <c r="E11" s="2"/>
      <c r="F11" s="37"/>
      <c r="G11" s="37"/>
      <c r="H11" s="43">
        <f t="shared" si="0"/>
        <v>0</v>
      </c>
      <c r="I11" s="2"/>
      <c r="J11" s="2"/>
      <c r="K11" s="2"/>
      <c r="L11" s="2"/>
      <c r="M11" s="2"/>
      <c r="N11" s="2"/>
    </row>
    <row r="12" spans="1:14" x14ac:dyDescent="0.25">
      <c r="A12" s="2"/>
      <c r="B12" s="2"/>
      <c r="C12" s="2"/>
      <c r="D12" s="2"/>
      <c r="E12" s="2"/>
      <c r="F12" s="37"/>
      <c r="G12" s="37"/>
      <c r="H12" s="43">
        <f t="shared" si="0"/>
        <v>0</v>
      </c>
      <c r="I12" s="2"/>
      <c r="J12" s="2"/>
      <c r="K12" s="2"/>
      <c r="L12" s="2"/>
      <c r="M12" s="2"/>
      <c r="N12" s="2"/>
    </row>
    <row r="13" spans="1:14" x14ac:dyDescent="0.25">
      <c r="A13" s="2"/>
      <c r="B13" s="2"/>
      <c r="C13" s="2"/>
      <c r="D13" s="2"/>
      <c r="E13" s="2"/>
      <c r="F13" s="37"/>
      <c r="G13" s="37"/>
      <c r="H13" s="43">
        <f t="shared" si="0"/>
        <v>0</v>
      </c>
      <c r="I13" s="2"/>
      <c r="J13" s="2"/>
      <c r="K13" s="2"/>
      <c r="L13" s="2"/>
      <c r="M13" s="2"/>
      <c r="N13" s="2"/>
    </row>
    <row r="14" spans="1:14" x14ac:dyDescent="0.25">
      <c r="A14" s="2"/>
      <c r="B14" s="2"/>
      <c r="C14" s="2"/>
      <c r="D14" s="2"/>
      <c r="E14" s="2"/>
      <c r="F14" s="37"/>
      <c r="G14" s="37"/>
      <c r="H14" s="43">
        <f t="shared" si="0"/>
        <v>0</v>
      </c>
      <c r="I14" s="2"/>
      <c r="J14" s="2"/>
      <c r="K14" s="2"/>
      <c r="L14" s="2"/>
      <c r="M14" s="2"/>
      <c r="N14" s="2"/>
    </row>
    <row r="15" spans="1:14" x14ac:dyDescent="0.25">
      <c r="A15" s="2"/>
      <c r="B15" s="2"/>
      <c r="C15" s="2"/>
      <c r="D15" s="2"/>
      <c r="E15" s="2"/>
      <c r="F15" s="37"/>
      <c r="G15" s="37"/>
      <c r="H15" s="43">
        <f t="shared" si="0"/>
        <v>0</v>
      </c>
      <c r="I15" s="2"/>
      <c r="J15" s="2"/>
      <c r="K15" s="2"/>
      <c r="L15" s="2"/>
      <c r="M15" s="2"/>
      <c r="N15" s="2"/>
    </row>
    <row r="16" spans="1:14" x14ac:dyDescent="0.25">
      <c r="A16" s="2"/>
      <c r="B16" s="2"/>
      <c r="C16" s="2"/>
      <c r="D16" s="2"/>
      <c r="E16" s="2"/>
      <c r="F16" s="37"/>
      <c r="G16" s="37"/>
      <c r="H16" s="43">
        <f t="shared" si="0"/>
        <v>0</v>
      </c>
      <c r="I16" s="2"/>
      <c r="J16" s="2"/>
      <c r="K16" s="2"/>
      <c r="L16" s="2"/>
      <c r="M16" s="2"/>
      <c r="N16" s="2"/>
    </row>
    <row r="17" spans="1:14" x14ac:dyDescent="0.25">
      <c r="A17" s="2"/>
      <c r="B17" s="2"/>
      <c r="C17" s="2"/>
      <c r="D17" s="2"/>
      <c r="E17" s="2"/>
      <c r="F17" s="37"/>
      <c r="G17" s="37"/>
      <c r="H17" s="43">
        <f t="shared" si="0"/>
        <v>0</v>
      </c>
      <c r="I17" s="2"/>
      <c r="J17" s="2"/>
      <c r="K17" s="2"/>
      <c r="L17" s="2"/>
      <c r="M17" s="2"/>
      <c r="N17" s="2"/>
    </row>
    <row r="18" spans="1:14" x14ac:dyDescent="0.25">
      <c r="A18" s="2"/>
      <c r="B18" s="2"/>
      <c r="C18" s="2"/>
      <c r="D18" s="2"/>
      <c r="E18" s="2"/>
      <c r="F18" s="37"/>
      <c r="G18" s="37"/>
      <c r="H18" s="43">
        <f t="shared" si="0"/>
        <v>0</v>
      </c>
      <c r="I18" s="2"/>
      <c r="J18" s="2"/>
      <c r="K18" s="2"/>
      <c r="L18" s="2"/>
      <c r="M18" s="2"/>
      <c r="N18" s="2"/>
    </row>
    <row r="19" spans="1:14" x14ac:dyDescent="0.25">
      <c r="A19" s="2"/>
      <c r="B19" s="2"/>
      <c r="C19" s="2"/>
      <c r="D19" s="2"/>
      <c r="E19" s="2"/>
      <c r="F19" s="37"/>
      <c r="G19" s="37"/>
      <c r="H19" s="43">
        <f t="shared" si="0"/>
        <v>0</v>
      </c>
      <c r="I19" s="2"/>
      <c r="J19" s="2"/>
      <c r="K19" s="2"/>
      <c r="L19" s="2"/>
      <c r="M19" s="2"/>
      <c r="N19" s="2"/>
    </row>
    <row r="20" spans="1:14" x14ac:dyDescent="0.25">
      <c r="A20" s="2"/>
      <c r="B20" s="2"/>
      <c r="C20" s="2"/>
      <c r="D20" s="2"/>
      <c r="E20" s="2"/>
      <c r="F20" s="37"/>
      <c r="G20" s="37"/>
      <c r="H20" s="43">
        <f t="shared" si="0"/>
        <v>0</v>
      </c>
      <c r="I20" s="2"/>
      <c r="J20" s="2"/>
      <c r="K20" s="2"/>
      <c r="L20" s="2"/>
      <c r="M20" s="2"/>
      <c r="N20" s="2"/>
    </row>
    <row r="21" spans="1:14" x14ac:dyDescent="0.25">
      <c r="A21" s="2"/>
      <c r="B21" s="2"/>
      <c r="C21" s="2"/>
      <c r="D21" s="2"/>
      <c r="E21" s="2"/>
      <c r="F21" s="37"/>
      <c r="G21" s="37"/>
      <c r="H21" s="43">
        <f t="shared" si="0"/>
        <v>0</v>
      </c>
      <c r="I21" s="2"/>
      <c r="J21" s="2"/>
      <c r="K21" s="2"/>
      <c r="L21" s="2"/>
      <c r="M21" s="2"/>
      <c r="N21" s="2"/>
    </row>
    <row r="22" spans="1:14" x14ac:dyDescent="0.25">
      <c r="A22" s="2"/>
      <c r="B22" s="2"/>
      <c r="C22" s="2"/>
      <c r="D22" s="2"/>
      <c r="E22" s="2"/>
      <c r="F22" s="37"/>
      <c r="G22" s="37"/>
      <c r="H22" s="43">
        <f t="shared" si="0"/>
        <v>0</v>
      </c>
      <c r="I22" s="2"/>
      <c r="J22" s="2"/>
      <c r="K22" s="2"/>
      <c r="L22" s="2"/>
      <c r="M22" s="2"/>
      <c r="N22" s="2"/>
    </row>
    <row r="23" spans="1:14" x14ac:dyDescent="0.25">
      <c r="A23" s="2"/>
      <c r="B23" s="2"/>
      <c r="C23" s="2"/>
      <c r="D23" s="2"/>
      <c r="E23" s="2"/>
      <c r="F23" s="37"/>
      <c r="G23" s="37"/>
      <c r="H23" s="43">
        <f t="shared" si="0"/>
        <v>0</v>
      </c>
      <c r="I23" s="2"/>
      <c r="J23" s="2"/>
      <c r="K23" s="2"/>
      <c r="L23" s="2"/>
      <c r="M23" s="2"/>
      <c r="N23" s="2"/>
    </row>
    <row r="24" spans="1:14" x14ac:dyDescent="0.25">
      <c r="A24" s="2"/>
      <c r="B24" s="2"/>
      <c r="C24" s="2"/>
      <c r="D24" s="2"/>
      <c r="E24" s="2"/>
      <c r="F24" s="37"/>
      <c r="G24" s="37"/>
      <c r="H24" s="43">
        <f t="shared" si="0"/>
        <v>0</v>
      </c>
      <c r="I24" s="2"/>
      <c r="J24" s="2"/>
      <c r="K24" s="2"/>
      <c r="L24" s="2"/>
      <c r="M24" s="2"/>
      <c r="N24" s="2"/>
    </row>
    <row r="25" spans="1:14" x14ac:dyDescent="0.25">
      <c r="A25" s="2"/>
      <c r="B25" s="2"/>
      <c r="C25" s="2"/>
      <c r="D25" s="2"/>
      <c r="E25" s="2"/>
      <c r="F25" s="37"/>
      <c r="G25" s="37"/>
      <c r="H25" s="43">
        <f t="shared" si="0"/>
        <v>0</v>
      </c>
      <c r="I25" s="2"/>
      <c r="J25" s="2"/>
      <c r="K25" s="2"/>
      <c r="L25" s="2"/>
      <c r="M25" s="2"/>
      <c r="N25" s="2"/>
    </row>
    <row r="26" spans="1:14" x14ac:dyDescent="0.25">
      <c r="A26" s="2"/>
      <c r="B26" s="2"/>
      <c r="C26" s="2"/>
      <c r="D26" s="2"/>
      <c r="E26" s="2"/>
      <c r="F26" s="37"/>
      <c r="G26" s="37"/>
      <c r="H26" s="43">
        <f t="shared" si="0"/>
        <v>0</v>
      </c>
      <c r="I26" s="2"/>
      <c r="J26" s="2"/>
      <c r="K26" s="2"/>
      <c r="L26" s="2"/>
      <c r="M26" s="2"/>
      <c r="N26" s="2"/>
    </row>
    <row r="27" spans="1:14" x14ac:dyDescent="0.25">
      <c r="A27" s="2"/>
      <c r="B27" s="2"/>
      <c r="C27" s="2"/>
      <c r="D27" s="2"/>
      <c r="E27" s="2"/>
      <c r="F27" s="37"/>
      <c r="G27" s="37"/>
      <c r="H27" s="43">
        <f t="shared" si="0"/>
        <v>0</v>
      </c>
      <c r="I27" s="2"/>
      <c r="J27" s="2"/>
      <c r="K27" s="2"/>
      <c r="L27" s="2"/>
      <c r="M27" s="2"/>
      <c r="N27" s="2"/>
    </row>
    <row r="28" spans="1:14" x14ac:dyDescent="0.25">
      <c r="A28" s="2"/>
      <c r="B28" s="2"/>
      <c r="C28" s="2"/>
      <c r="D28" s="2"/>
      <c r="E28" s="2"/>
      <c r="F28" s="37"/>
      <c r="G28" s="37"/>
      <c r="H28" s="43">
        <f t="shared" si="0"/>
        <v>0</v>
      </c>
      <c r="I28" s="2"/>
      <c r="J28" s="2"/>
      <c r="K28" s="2"/>
      <c r="L28" s="2"/>
      <c r="M28" s="2"/>
      <c r="N28" s="2"/>
    </row>
    <row r="29" spans="1:14" x14ac:dyDescent="0.25">
      <c r="A29" s="2"/>
      <c r="B29" s="2"/>
      <c r="C29" s="2"/>
      <c r="D29" s="2"/>
      <c r="E29" s="2"/>
      <c r="F29" s="37"/>
      <c r="G29" s="37"/>
      <c r="H29" s="43">
        <f t="shared" si="0"/>
        <v>0</v>
      </c>
      <c r="I29" s="2"/>
      <c r="J29" s="2"/>
      <c r="K29" s="2"/>
      <c r="L29" s="2"/>
      <c r="M29" s="2"/>
      <c r="N29" s="2"/>
    </row>
    <row r="30" spans="1:14" x14ac:dyDescent="0.25">
      <c r="A30" s="2"/>
      <c r="B30" s="2"/>
      <c r="C30" s="2"/>
      <c r="D30" s="2"/>
      <c r="E30" s="2"/>
      <c r="F30" s="37"/>
      <c r="G30" s="37"/>
      <c r="H30" s="43">
        <f t="shared" si="0"/>
        <v>0</v>
      </c>
      <c r="I30" s="2"/>
      <c r="J30" s="2"/>
      <c r="K30" s="2"/>
      <c r="L30" s="2"/>
      <c r="M30" s="2"/>
      <c r="N30" s="2"/>
    </row>
    <row r="31" spans="1:14" x14ac:dyDescent="0.25">
      <c r="A31" s="2"/>
      <c r="B31" s="2"/>
      <c r="C31" s="2"/>
      <c r="D31" s="2"/>
      <c r="E31" s="2"/>
      <c r="F31" s="37"/>
      <c r="G31" s="37"/>
      <c r="H31" s="43">
        <f t="shared" si="0"/>
        <v>0</v>
      </c>
      <c r="I31" s="2"/>
      <c r="J31" s="2"/>
      <c r="K31" s="2"/>
      <c r="L31" s="2"/>
      <c r="M31" s="2"/>
      <c r="N31" s="2"/>
    </row>
    <row r="32" spans="1:14" x14ac:dyDescent="0.25">
      <c r="A32" s="2"/>
      <c r="B32" s="2"/>
      <c r="C32" s="2"/>
      <c r="D32" s="2"/>
      <c r="E32" s="2"/>
      <c r="F32" s="37"/>
      <c r="G32" s="37"/>
      <c r="H32" s="43">
        <f t="shared" si="0"/>
        <v>0</v>
      </c>
      <c r="I32" s="2"/>
      <c r="J32" s="2"/>
      <c r="K32" s="2"/>
      <c r="L32" s="2"/>
      <c r="M32" s="2"/>
      <c r="N32" s="2"/>
    </row>
    <row r="33" spans="1:14" x14ac:dyDescent="0.25">
      <c r="A33" s="2"/>
      <c r="B33" s="2"/>
      <c r="C33" s="2"/>
      <c r="D33" s="2"/>
      <c r="E33" s="2"/>
      <c r="F33" s="37"/>
      <c r="G33" s="37"/>
      <c r="H33" s="43">
        <f t="shared" si="0"/>
        <v>0</v>
      </c>
      <c r="I33" s="2"/>
      <c r="J33" s="2"/>
      <c r="K33" s="2"/>
      <c r="L33" s="2"/>
      <c r="M33" s="2"/>
      <c r="N33" s="2"/>
    </row>
    <row r="34" spans="1:14" x14ac:dyDescent="0.25">
      <c r="A34" s="2"/>
      <c r="B34" s="2"/>
      <c r="C34" s="2"/>
      <c r="D34" s="2"/>
      <c r="E34" s="2"/>
      <c r="F34" s="37"/>
      <c r="G34" s="37"/>
      <c r="H34" s="43">
        <f t="shared" si="0"/>
        <v>0</v>
      </c>
      <c r="I34" s="2"/>
      <c r="J34" s="2"/>
      <c r="K34" s="2"/>
      <c r="L34" s="2"/>
      <c r="M34" s="2"/>
      <c r="N34" s="2"/>
    </row>
    <row r="35" spans="1:14" x14ac:dyDescent="0.25">
      <c r="A35" s="2"/>
      <c r="B35" s="2"/>
      <c r="C35" s="2"/>
      <c r="D35" s="2"/>
      <c r="E35" s="2"/>
      <c r="F35" s="37"/>
      <c r="G35" s="37"/>
      <c r="H35" s="43">
        <f t="shared" si="0"/>
        <v>0</v>
      </c>
      <c r="I35" s="2"/>
      <c r="J35" s="2"/>
      <c r="K35" s="2"/>
      <c r="L35" s="2"/>
      <c r="M35" s="2"/>
      <c r="N35" s="2"/>
    </row>
    <row r="36" spans="1:14" x14ac:dyDescent="0.25">
      <c r="A36" s="2"/>
      <c r="B36" s="2"/>
      <c r="C36" s="2"/>
      <c r="D36" s="2"/>
      <c r="E36" s="2"/>
      <c r="F36" s="37"/>
      <c r="G36" s="37"/>
      <c r="H36" s="43">
        <f t="shared" si="0"/>
        <v>0</v>
      </c>
      <c r="I36" s="2"/>
      <c r="J36" s="2"/>
      <c r="K36" s="2"/>
      <c r="L36" s="2"/>
      <c r="M36" s="2"/>
      <c r="N36" s="2"/>
    </row>
    <row r="37" spans="1:14" x14ac:dyDescent="0.25">
      <c r="A37" s="2"/>
      <c r="B37" s="2"/>
      <c r="C37" s="2"/>
      <c r="D37" s="2"/>
      <c r="E37" s="2"/>
      <c r="F37" s="37"/>
      <c r="G37" s="37"/>
      <c r="H37" s="43">
        <f t="shared" si="0"/>
        <v>0</v>
      </c>
      <c r="I37" s="2"/>
      <c r="J37" s="2"/>
      <c r="K37" s="2"/>
      <c r="L37" s="2"/>
      <c r="M37" s="2"/>
      <c r="N37" s="2"/>
    </row>
    <row r="38" spans="1:14" x14ac:dyDescent="0.25">
      <c r="A38" s="2"/>
      <c r="B38" s="2"/>
      <c r="C38" s="2"/>
      <c r="D38" s="2"/>
      <c r="E38" s="2"/>
      <c r="F38" s="37"/>
      <c r="G38" s="37"/>
      <c r="H38" s="43">
        <f t="shared" si="0"/>
        <v>0</v>
      </c>
      <c r="I38" s="2"/>
      <c r="J38" s="2"/>
      <c r="K38" s="2"/>
      <c r="L38" s="2"/>
      <c r="M38" s="2"/>
      <c r="N38" s="2"/>
    </row>
    <row r="39" spans="1:14" x14ac:dyDescent="0.25">
      <c r="A39" s="2"/>
      <c r="B39" s="2"/>
      <c r="C39" s="2"/>
      <c r="D39" s="2"/>
      <c r="E39" s="2"/>
      <c r="F39" s="37"/>
      <c r="G39" s="37"/>
      <c r="H39" s="43">
        <f t="shared" si="0"/>
        <v>0</v>
      </c>
      <c r="I39" s="2"/>
      <c r="J39" s="2"/>
      <c r="K39" s="2"/>
      <c r="L39" s="2"/>
      <c r="M39" s="2"/>
      <c r="N39" s="2"/>
    </row>
    <row r="40" spans="1:14" x14ac:dyDescent="0.25">
      <c r="A40" s="2"/>
      <c r="B40" s="2"/>
      <c r="C40" s="2"/>
      <c r="D40" s="2"/>
      <c r="E40" s="2"/>
      <c r="F40" s="37"/>
      <c r="G40" s="37"/>
      <c r="H40" s="43">
        <f t="shared" si="0"/>
        <v>0</v>
      </c>
      <c r="I40" s="2"/>
      <c r="J40" s="2"/>
      <c r="K40" s="2"/>
      <c r="L40" s="2"/>
      <c r="M40" s="2"/>
      <c r="N40" s="2"/>
    </row>
    <row r="41" spans="1:14" x14ac:dyDescent="0.25">
      <c r="A41" s="2"/>
      <c r="B41" s="2"/>
      <c r="C41" s="2"/>
      <c r="D41" s="2"/>
      <c r="E41" s="2"/>
      <c r="F41" s="37"/>
      <c r="G41" s="37"/>
      <c r="H41" s="43">
        <f t="shared" si="0"/>
        <v>0</v>
      </c>
      <c r="I41" s="2"/>
      <c r="J41" s="2"/>
      <c r="K41" s="2"/>
      <c r="L41" s="2"/>
      <c r="M41" s="2"/>
      <c r="N41" s="2"/>
    </row>
    <row r="42" spans="1:14" x14ac:dyDescent="0.25">
      <c r="A42" s="2"/>
      <c r="B42" s="2"/>
      <c r="C42" s="2"/>
      <c r="D42" s="2"/>
      <c r="E42" s="2"/>
      <c r="F42" s="37"/>
      <c r="G42" s="37"/>
      <c r="H42" s="43">
        <f t="shared" si="0"/>
        <v>0</v>
      </c>
      <c r="I42" s="2"/>
      <c r="J42" s="2"/>
      <c r="K42" s="2"/>
      <c r="L42" s="2"/>
      <c r="M42" s="2"/>
      <c r="N42" s="2"/>
    </row>
    <row r="43" spans="1:14" x14ac:dyDescent="0.25">
      <c r="A43" s="2"/>
      <c r="B43" s="2"/>
      <c r="C43" s="2"/>
      <c r="D43" s="2"/>
      <c r="E43" s="2"/>
      <c r="F43" s="37"/>
      <c r="G43" s="37"/>
      <c r="H43" s="43">
        <f t="shared" si="0"/>
        <v>0</v>
      </c>
      <c r="I43" s="2"/>
      <c r="J43" s="2"/>
      <c r="K43" s="2"/>
      <c r="L43" s="2"/>
      <c r="M43" s="2"/>
      <c r="N43" s="2"/>
    </row>
    <row r="44" spans="1:14" x14ac:dyDescent="0.25">
      <c r="A44" s="2"/>
      <c r="B44" s="2"/>
      <c r="C44" s="2"/>
      <c r="D44" s="2"/>
      <c r="E44" s="2"/>
      <c r="F44" s="37"/>
      <c r="G44" s="37"/>
      <c r="H44" s="43">
        <f t="shared" si="0"/>
        <v>0</v>
      </c>
      <c r="I44" s="2"/>
      <c r="J44" s="2"/>
      <c r="K44" s="2"/>
      <c r="L44" s="2"/>
      <c r="M44" s="2"/>
      <c r="N44" s="2"/>
    </row>
    <row r="45" spans="1:14" x14ac:dyDescent="0.25">
      <c r="A45" s="2"/>
      <c r="B45" s="2"/>
      <c r="C45" s="2"/>
      <c r="D45" s="2"/>
      <c r="E45" s="2"/>
      <c r="F45" s="37"/>
      <c r="G45" s="37"/>
      <c r="H45" s="43">
        <f t="shared" si="0"/>
        <v>0</v>
      </c>
      <c r="I45" s="2"/>
      <c r="J45" s="2"/>
      <c r="K45" s="2"/>
      <c r="L45" s="2"/>
      <c r="M45" s="2"/>
      <c r="N45" s="2"/>
    </row>
    <row r="46" spans="1:14" x14ac:dyDescent="0.25">
      <c r="A46" s="2"/>
      <c r="B46" s="2"/>
      <c r="C46" s="2"/>
      <c r="D46" s="2"/>
      <c r="E46" s="2"/>
      <c r="F46" s="37"/>
      <c r="G46" s="37"/>
      <c r="H46" s="43">
        <f t="shared" si="0"/>
        <v>0</v>
      </c>
      <c r="I46" s="2"/>
      <c r="J46" s="2"/>
      <c r="K46" s="2"/>
      <c r="L46" s="2"/>
      <c r="M46" s="2"/>
      <c r="N46" s="2"/>
    </row>
    <row r="47" spans="1:14" x14ac:dyDescent="0.25">
      <c r="A47" s="2"/>
      <c r="B47" s="2"/>
      <c r="C47" s="2"/>
      <c r="D47" s="2"/>
      <c r="E47" s="2"/>
      <c r="F47" s="37"/>
      <c r="G47" s="37"/>
      <c r="H47" s="43">
        <f t="shared" si="0"/>
        <v>0</v>
      </c>
      <c r="I47" s="2"/>
      <c r="J47" s="2"/>
      <c r="K47" s="2"/>
      <c r="L47" s="2"/>
      <c r="M47" s="2"/>
      <c r="N47" s="2"/>
    </row>
    <row r="48" spans="1:14" x14ac:dyDescent="0.25">
      <c r="A48" s="2"/>
      <c r="B48" s="2"/>
      <c r="C48" s="2"/>
      <c r="D48" s="2"/>
      <c r="E48" s="2"/>
      <c r="F48" s="37"/>
      <c r="G48" s="37"/>
      <c r="H48" s="43">
        <f t="shared" si="0"/>
        <v>0</v>
      </c>
      <c r="I48" s="2"/>
      <c r="J48" s="2"/>
      <c r="K48" s="2"/>
      <c r="L48" s="2"/>
      <c r="M48" s="2"/>
      <c r="N48" s="2"/>
    </row>
    <row r="49" spans="1:14" x14ac:dyDescent="0.25">
      <c r="A49" s="2"/>
      <c r="B49" s="2"/>
      <c r="C49" s="2"/>
      <c r="D49" s="2"/>
      <c r="E49" s="2"/>
      <c r="F49" s="37"/>
      <c r="G49" s="37"/>
      <c r="H49" s="43">
        <f t="shared" si="0"/>
        <v>0</v>
      </c>
      <c r="I49" s="2"/>
      <c r="J49" s="2"/>
      <c r="K49" s="2"/>
      <c r="L49" s="2"/>
      <c r="M49" s="2"/>
      <c r="N49" s="2"/>
    </row>
    <row r="50" spans="1:14" x14ac:dyDescent="0.25">
      <c r="A50" s="2"/>
      <c r="B50" s="2"/>
      <c r="C50" s="2"/>
      <c r="D50" s="2"/>
      <c r="E50" s="2"/>
      <c r="F50" s="37"/>
      <c r="G50" s="37"/>
      <c r="H50" s="43">
        <f t="shared" si="0"/>
        <v>0</v>
      </c>
      <c r="I50" s="2"/>
      <c r="J50" s="2"/>
      <c r="K50" s="2"/>
      <c r="L50" s="2"/>
      <c r="M50" s="2"/>
      <c r="N50" s="2"/>
    </row>
    <row r="51" spans="1:14" x14ac:dyDescent="0.25">
      <c r="A51" s="2"/>
      <c r="B51" s="2"/>
      <c r="C51" s="2"/>
      <c r="D51" s="2"/>
      <c r="E51" s="2"/>
      <c r="F51" s="37"/>
      <c r="G51" s="37"/>
      <c r="H51" s="43">
        <f t="shared" si="0"/>
        <v>0</v>
      </c>
      <c r="I51" s="2"/>
      <c r="J51" s="2"/>
      <c r="K51" s="2"/>
      <c r="L51" s="2"/>
      <c r="M51" s="2"/>
      <c r="N51" s="2"/>
    </row>
    <row r="52" spans="1:14" x14ac:dyDescent="0.25">
      <c r="A52" s="2"/>
      <c r="B52" s="2"/>
      <c r="C52" s="2"/>
      <c r="D52" s="2"/>
      <c r="E52" s="2"/>
      <c r="F52" s="37"/>
      <c r="G52" s="37"/>
      <c r="H52" s="43">
        <f t="shared" si="0"/>
        <v>0</v>
      </c>
      <c r="I52" s="2"/>
      <c r="J52" s="2"/>
      <c r="K52" s="2"/>
      <c r="L52" s="2"/>
      <c r="M52" s="2"/>
      <c r="N52" s="2"/>
    </row>
    <row r="53" spans="1:14" x14ac:dyDescent="0.25">
      <c r="A53" s="2"/>
      <c r="B53" s="2"/>
      <c r="C53" s="2"/>
      <c r="D53" s="2"/>
      <c r="E53" s="2"/>
      <c r="F53" s="37"/>
      <c r="G53" s="37"/>
      <c r="H53" s="43">
        <f t="shared" si="0"/>
        <v>0</v>
      </c>
      <c r="I53" s="2"/>
      <c r="J53" s="2"/>
      <c r="K53" s="2"/>
      <c r="L53" s="2"/>
      <c r="M53" s="2"/>
      <c r="N53" s="2"/>
    </row>
    <row r="54" spans="1:14" x14ac:dyDescent="0.25">
      <c r="A54" s="2"/>
      <c r="B54" s="2"/>
      <c r="C54" s="2"/>
      <c r="D54" s="2"/>
      <c r="E54" s="2"/>
      <c r="F54" s="37"/>
      <c r="G54" s="37"/>
      <c r="H54" s="43">
        <f t="shared" si="0"/>
        <v>0</v>
      </c>
      <c r="I54" s="2"/>
      <c r="J54" s="2"/>
      <c r="K54" s="2"/>
      <c r="L54" s="2"/>
      <c r="M54" s="2"/>
      <c r="N54" s="2"/>
    </row>
    <row r="55" spans="1:14" x14ac:dyDescent="0.25">
      <c r="A55" s="2"/>
      <c r="B55" s="2"/>
      <c r="C55" s="2"/>
      <c r="D55" s="2"/>
      <c r="E55" s="2"/>
      <c r="F55" s="37"/>
      <c r="G55" s="37"/>
      <c r="H55" s="43">
        <f t="shared" si="0"/>
        <v>0</v>
      </c>
      <c r="I55" s="2"/>
      <c r="J55" s="2"/>
      <c r="K55" s="2"/>
      <c r="L55" s="2"/>
      <c r="M55" s="2"/>
      <c r="N55" s="2"/>
    </row>
    <row r="56" spans="1:14" x14ac:dyDescent="0.25">
      <c r="A56" s="2"/>
      <c r="B56" s="2"/>
      <c r="C56" s="2"/>
      <c r="D56" s="2"/>
      <c r="E56" s="2"/>
      <c r="F56" s="37"/>
      <c r="G56" s="37"/>
      <c r="H56" s="43">
        <f t="shared" si="0"/>
        <v>0</v>
      </c>
      <c r="I56" s="2"/>
      <c r="J56" s="2"/>
      <c r="K56" s="2"/>
      <c r="L56" s="2"/>
      <c r="M56" s="2"/>
      <c r="N56" s="2"/>
    </row>
    <row r="57" spans="1:14" x14ac:dyDescent="0.25">
      <c r="A57" s="2"/>
      <c r="B57" s="2"/>
      <c r="C57" s="2"/>
      <c r="D57" s="2"/>
      <c r="E57" s="2"/>
      <c r="F57" s="37"/>
      <c r="G57" s="37"/>
      <c r="H57" s="43">
        <f t="shared" si="0"/>
        <v>0</v>
      </c>
      <c r="I57" s="2"/>
      <c r="J57" s="2"/>
      <c r="K57" s="2"/>
      <c r="L57" s="2"/>
      <c r="M57" s="2"/>
      <c r="N57" s="2"/>
    </row>
    <row r="58" spans="1:14" x14ac:dyDescent="0.25">
      <c r="A58" s="2"/>
      <c r="B58" s="2"/>
      <c r="C58" s="2"/>
      <c r="D58" s="2"/>
      <c r="E58" s="2"/>
      <c r="F58" s="37"/>
      <c r="G58" s="37"/>
      <c r="H58" s="43">
        <f t="shared" si="0"/>
        <v>0</v>
      </c>
      <c r="I58" s="2"/>
      <c r="J58" s="2"/>
      <c r="K58" s="2"/>
      <c r="L58" s="2"/>
      <c r="M58" s="2"/>
      <c r="N58" s="2"/>
    </row>
    <row r="59" spans="1:14" x14ac:dyDescent="0.25">
      <c r="A59" s="2"/>
      <c r="B59" s="2"/>
      <c r="C59" s="2"/>
      <c r="D59" s="2"/>
      <c r="E59" s="2"/>
      <c r="F59" s="37"/>
      <c r="G59" s="37"/>
      <c r="H59" s="43">
        <f t="shared" si="0"/>
        <v>0</v>
      </c>
      <c r="I59" s="2"/>
      <c r="J59" s="2"/>
      <c r="K59" s="2"/>
      <c r="L59" s="2"/>
      <c r="M59" s="2"/>
      <c r="N59" s="2"/>
    </row>
    <row r="60" spans="1:14" x14ac:dyDescent="0.25">
      <c r="A60" s="2"/>
      <c r="B60" s="2"/>
      <c r="C60" s="2"/>
      <c r="D60" s="2"/>
      <c r="E60" s="2"/>
      <c r="F60" s="37"/>
      <c r="G60" s="37"/>
      <c r="H60" s="43">
        <f t="shared" si="0"/>
        <v>0</v>
      </c>
      <c r="I60" s="2"/>
      <c r="J60" s="2"/>
      <c r="K60" s="2"/>
      <c r="L60" s="2"/>
      <c r="M60" s="2"/>
      <c r="N60" s="2"/>
    </row>
    <row r="61" spans="1:14" x14ac:dyDescent="0.25">
      <c r="A61" s="2"/>
      <c r="B61" s="2"/>
      <c r="C61" s="2"/>
      <c r="D61" s="2"/>
      <c r="E61" s="2"/>
      <c r="F61" s="37"/>
      <c r="G61" s="37"/>
      <c r="H61" s="43">
        <f t="shared" si="0"/>
        <v>0</v>
      </c>
      <c r="I61" s="2"/>
      <c r="J61" s="2"/>
      <c r="K61" s="2"/>
      <c r="L61" s="2"/>
      <c r="M61" s="2"/>
      <c r="N61" s="2"/>
    </row>
    <row r="62" spans="1:14" x14ac:dyDescent="0.25">
      <c r="A62" s="2"/>
      <c r="B62" s="2"/>
      <c r="C62" s="2"/>
      <c r="D62" s="2"/>
      <c r="E62" s="2"/>
      <c r="F62" s="37"/>
      <c r="G62" s="37"/>
      <c r="H62" s="43">
        <f t="shared" si="0"/>
        <v>0</v>
      </c>
      <c r="I62" s="2"/>
      <c r="J62" s="2"/>
      <c r="K62" s="2"/>
      <c r="L62" s="2"/>
      <c r="M62" s="2"/>
      <c r="N62" s="2"/>
    </row>
    <row r="63" spans="1:14" x14ac:dyDescent="0.25">
      <c r="A63" s="2"/>
      <c r="B63" s="2"/>
      <c r="C63" s="2"/>
      <c r="D63" s="2"/>
      <c r="E63" s="2"/>
      <c r="F63" s="37"/>
      <c r="G63" s="37"/>
      <c r="H63" s="43">
        <f t="shared" si="0"/>
        <v>0</v>
      </c>
      <c r="I63" s="2"/>
      <c r="J63" s="2"/>
      <c r="K63" s="2"/>
      <c r="L63" s="2"/>
      <c r="M63" s="2"/>
      <c r="N63" s="2"/>
    </row>
    <row r="64" spans="1:14" x14ac:dyDescent="0.25">
      <c r="A64" s="2"/>
      <c r="B64" s="2"/>
      <c r="C64" s="2"/>
      <c r="D64" s="2"/>
      <c r="E64" s="2"/>
      <c r="F64" s="37"/>
      <c r="G64" s="37"/>
      <c r="H64" s="43">
        <f t="shared" si="0"/>
        <v>0</v>
      </c>
      <c r="I64" s="2"/>
      <c r="J64" s="2"/>
      <c r="K64" s="2"/>
      <c r="L64" s="2"/>
      <c r="M64" s="2"/>
      <c r="N64" s="2"/>
    </row>
    <row r="65" spans="1:14" x14ac:dyDescent="0.25">
      <c r="A65" s="2"/>
      <c r="B65" s="2"/>
      <c r="C65" s="2"/>
      <c r="D65" s="2"/>
      <c r="E65" s="2"/>
      <c r="F65" s="37"/>
      <c r="G65" s="37"/>
      <c r="H65" s="43">
        <f t="shared" si="0"/>
        <v>0</v>
      </c>
      <c r="I65" s="2"/>
      <c r="J65" s="2"/>
      <c r="K65" s="2"/>
      <c r="L65" s="2"/>
      <c r="M65" s="2"/>
      <c r="N65" s="2"/>
    </row>
    <row r="66" spans="1:14" x14ac:dyDescent="0.25">
      <c r="A66" s="2"/>
      <c r="B66" s="2"/>
      <c r="C66" s="2"/>
      <c r="D66" s="2"/>
      <c r="E66" s="2"/>
      <c r="F66" s="37"/>
      <c r="G66" s="37"/>
      <c r="H66" s="43">
        <f t="shared" si="0"/>
        <v>0</v>
      </c>
      <c r="I66" s="2"/>
      <c r="J66" s="2"/>
      <c r="K66" s="2"/>
      <c r="L66" s="2"/>
      <c r="M66" s="2"/>
      <c r="N66" s="2"/>
    </row>
    <row r="67" spans="1:14" x14ac:dyDescent="0.25">
      <c r="A67" s="2"/>
      <c r="B67" s="2"/>
      <c r="C67" s="2"/>
      <c r="D67" s="2"/>
      <c r="E67" s="2"/>
      <c r="F67" s="37"/>
      <c r="G67" s="37"/>
      <c r="H67" s="43">
        <f t="shared" si="0"/>
        <v>0</v>
      </c>
      <c r="I67" s="2"/>
      <c r="J67" s="2"/>
      <c r="K67" s="2"/>
      <c r="L67" s="2"/>
      <c r="M67" s="2"/>
      <c r="N67" s="2"/>
    </row>
    <row r="68" spans="1:14" x14ac:dyDescent="0.25">
      <c r="A68" s="2"/>
      <c r="B68" s="2"/>
      <c r="C68" s="2"/>
      <c r="D68" s="2"/>
      <c r="E68" s="2"/>
      <c r="F68" s="37"/>
      <c r="G68" s="37"/>
      <c r="H68" s="43">
        <f t="shared" si="0"/>
        <v>0</v>
      </c>
      <c r="I68" s="2"/>
      <c r="J68" s="2"/>
      <c r="K68" s="2"/>
      <c r="L68" s="2"/>
      <c r="M68" s="2"/>
      <c r="N68" s="2"/>
    </row>
    <row r="69" spans="1:14" x14ac:dyDescent="0.25">
      <c r="A69" s="2"/>
      <c r="B69" s="2"/>
      <c r="C69" s="2"/>
      <c r="D69" s="2"/>
      <c r="E69" s="2"/>
      <c r="F69" s="37"/>
      <c r="G69" s="37"/>
      <c r="H69" s="43">
        <f t="shared" ref="H69:H132" si="1">NETWORKDAYS(F69,G69)</f>
        <v>0</v>
      </c>
      <c r="I69" s="2"/>
      <c r="J69" s="2"/>
      <c r="K69" s="2"/>
      <c r="L69" s="2"/>
      <c r="M69" s="2"/>
      <c r="N69" s="2"/>
    </row>
    <row r="70" spans="1:14" x14ac:dyDescent="0.25">
      <c r="A70" s="2"/>
      <c r="B70" s="2"/>
      <c r="C70" s="2"/>
      <c r="D70" s="2"/>
      <c r="E70" s="2"/>
      <c r="F70" s="37"/>
      <c r="G70" s="37"/>
      <c r="H70" s="43">
        <f t="shared" si="1"/>
        <v>0</v>
      </c>
      <c r="I70" s="2"/>
      <c r="J70" s="2"/>
      <c r="K70" s="2"/>
      <c r="L70" s="2"/>
      <c r="M70" s="2"/>
      <c r="N70" s="2"/>
    </row>
    <row r="71" spans="1:14" x14ac:dyDescent="0.25">
      <c r="A71" s="2"/>
      <c r="B71" s="2"/>
      <c r="C71" s="2"/>
      <c r="D71" s="2"/>
      <c r="E71" s="2"/>
      <c r="F71" s="37"/>
      <c r="G71" s="37"/>
      <c r="H71" s="43">
        <f t="shared" si="1"/>
        <v>0</v>
      </c>
      <c r="I71" s="2"/>
      <c r="J71" s="2"/>
      <c r="K71" s="2"/>
      <c r="L71" s="2"/>
      <c r="M71" s="2"/>
      <c r="N71" s="2"/>
    </row>
    <row r="72" spans="1:14" x14ac:dyDescent="0.25">
      <c r="A72" s="2"/>
      <c r="B72" s="2"/>
      <c r="C72" s="2"/>
      <c r="D72" s="2"/>
      <c r="E72" s="2"/>
      <c r="F72" s="37"/>
      <c r="G72" s="37"/>
      <c r="H72" s="43">
        <f t="shared" si="1"/>
        <v>0</v>
      </c>
      <c r="I72" s="2"/>
      <c r="J72" s="2"/>
      <c r="K72" s="2"/>
      <c r="L72" s="2"/>
      <c r="M72" s="2"/>
      <c r="N72" s="2"/>
    </row>
    <row r="73" spans="1:14" x14ac:dyDescent="0.25">
      <c r="A73" s="2"/>
      <c r="B73" s="2"/>
      <c r="C73" s="2"/>
      <c r="D73" s="2"/>
      <c r="E73" s="2"/>
      <c r="F73" s="37"/>
      <c r="G73" s="37"/>
      <c r="H73" s="43">
        <f t="shared" si="1"/>
        <v>0</v>
      </c>
      <c r="I73" s="2"/>
      <c r="J73" s="2"/>
      <c r="K73" s="2"/>
      <c r="L73" s="2"/>
      <c r="M73" s="2"/>
      <c r="N73" s="2"/>
    </row>
    <row r="74" spans="1:14" x14ac:dyDescent="0.25">
      <c r="A74" s="2"/>
      <c r="B74" s="2"/>
      <c r="C74" s="2"/>
      <c r="D74" s="2"/>
      <c r="E74" s="2"/>
      <c r="F74" s="37"/>
      <c r="G74" s="37"/>
      <c r="H74" s="43">
        <f t="shared" si="1"/>
        <v>0</v>
      </c>
      <c r="I74" s="2"/>
      <c r="J74" s="2"/>
      <c r="K74" s="2"/>
      <c r="L74" s="2"/>
      <c r="M74" s="2"/>
      <c r="N74" s="2"/>
    </row>
    <row r="75" spans="1:14" x14ac:dyDescent="0.25">
      <c r="A75" s="2"/>
      <c r="B75" s="2"/>
      <c r="C75" s="2"/>
      <c r="D75" s="2"/>
      <c r="E75" s="2"/>
      <c r="F75" s="37"/>
      <c r="G75" s="37"/>
      <c r="H75" s="43">
        <f t="shared" si="1"/>
        <v>0</v>
      </c>
      <c r="I75" s="2"/>
      <c r="J75" s="2"/>
      <c r="K75" s="2"/>
      <c r="L75" s="2"/>
      <c r="M75" s="2"/>
      <c r="N75" s="2"/>
    </row>
    <row r="76" spans="1:14" x14ac:dyDescent="0.25">
      <c r="A76" s="2"/>
      <c r="B76" s="2"/>
      <c r="C76" s="2"/>
      <c r="D76" s="2"/>
      <c r="E76" s="2"/>
      <c r="F76" s="37"/>
      <c r="G76" s="37"/>
      <c r="H76" s="43">
        <f t="shared" si="1"/>
        <v>0</v>
      </c>
      <c r="I76" s="2"/>
      <c r="J76" s="2"/>
      <c r="K76" s="2"/>
      <c r="L76" s="2"/>
      <c r="M76" s="2"/>
      <c r="N76" s="2"/>
    </row>
    <row r="77" spans="1:14" x14ac:dyDescent="0.25">
      <c r="A77" s="2"/>
      <c r="B77" s="2"/>
      <c r="C77" s="2"/>
      <c r="D77" s="2"/>
      <c r="E77" s="2"/>
      <c r="F77" s="37"/>
      <c r="G77" s="37"/>
      <c r="H77" s="43">
        <f t="shared" si="1"/>
        <v>0</v>
      </c>
      <c r="I77" s="2"/>
      <c r="J77" s="2"/>
      <c r="K77" s="2"/>
      <c r="L77" s="2"/>
      <c r="M77" s="2"/>
      <c r="N77" s="2"/>
    </row>
    <row r="78" spans="1:14" x14ac:dyDescent="0.25">
      <c r="A78" s="2"/>
      <c r="B78" s="2"/>
      <c r="C78" s="2"/>
      <c r="D78" s="2"/>
      <c r="E78" s="2"/>
      <c r="F78" s="37"/>
      <c r="G78" s="37"/>
      <c r="H78" s="43">
        <f t="shared" si="1"/>
        <v>0</v>
      </c>
      <c r="I78" s="2"/>
      <c r="J78" s="2"/>
      <c r="K78" s="2"/>
      <c r="L78" s="2"/>
      <c r="M78" s="2"/>
      <c r="N78" s="2"/>
    </row>
    <row r="79" spans="1:14" x14ac:dyDescent="0.25">
      <c r="A79" s="2"/>
      <c r="B79" s="2"/>
      <c r="C79" s="2"/>
      <c r="D79" s="2"/>
      <c r="E79" s="2"/>
      <c r="F79" s="37"/>
      <c r="G79" s="37"/>
      <c r="H79" s="43">
        <f t="shared" si="1"/>
        <v>0</v>
      </c>
      <c r="I79" s="2"/>
      <c r="J79" s="2"/>
      <c r="K79" s="2"/>
      <c r="L79" s="2"/>
      <c r="M79" s="2"/>
      <c r="N79" s="2"/>
    </row>
    <row r="80" spans="1:14" x14ac:dyDescent="0.25">
      <c r="A80" s="2"/>
      <c r="B80" s="2"/>
      <c r="C80" s="2"/>
      <c r="D80" s="2"/>
      <c r="E80" s="2"/>
      <c r="F80" s="37"/>
      <c r="G80" s="37"/>
      <c r="H80" s="43">
        <f t="shared" si="1"/>
        <v>0</v>
      </c>
      <c r="I80" s="2"/>
      <c r="J80" s="2"/>
      <c r="K80" s="2"/>
      <c r="L80" s="2"/>
      <c r="M80" s="2"/>
      <c r="N80" s="2"/>
    </row>
    <row r="81" spans="1:14" x14ac:dyDescent="0.25">
      <c r="A81" s="2"/>
      <c r="B81" s="2"/>
      <c r="C81" s="2"/>
      <c r="D81" s="2"/>
      <c r="E81" s="2"/>
      <c r="F81" s="37"/>
      <c r="G81" s="37"/>
      <c r="H81" s="43">
        <f t="shared" si="1"/>
        <v>0</v>
      </c>
      <c r="I81" s="2"/>
      <c r="J81" s="2"/>
      <c r="K81" s="2"/>
      <c r="L81" s="2"/>
      <c r="M81" s="2"/>
      <c r="N81" s="2"/>
    </row>
    <row r="82" spans="1:14" x14ac:dyDescent="0.25">
      <c r="A82" s="2"/>
      <c r="B82" s="2"/>
      <c r="C82" s="2"/>
      <c r="D82" s="2"/>
      <c r="E82" s="2"/>
      <c r="F82" s="37"/>
      <c r="G82" s="37"/>
      <c r="H82" s="43">
        <f t="shared" si="1"/>
        <v>0</v>
      </c>
      <c r="I82" s="2"/>
      <c r="J82" s="2"/>
      <c r="K82" s="2"/>
      <c r="L82" s="2"/>
      <c r="M82" s="2"/>
      <c r="N82" s="2"/>
    </row>
    <row r="83" spans="1:14" x14ac:dyDescent="0.25">
      <c r="A83" s="2"/>
      <c r="B83" s="2"/>
      <c r="C83" s="2"/>
      <c r="D83" s="2"/>
      <c r="E83" s="2"/>
      <c r="F83" s="37"/>
      <c r="G83" s="37"/>
      <c r="H83" s="43">
        <f t="shared" si="1"/>
        <v>0</v>
      </c>
      <c r="I83" s="2"/>
      <c r="J83" s="2"/>
      <c r="K83" s="2"/>
      <c r="L83" s="2"/>
      <c r="M83" s="2"/>
      <c r="N83" s="2"/>
    </row>
    <row r="84" spans="1:14" x14ac:dyDescent="0.25">
      <c r="A84" s="2"/>
      <c r="B84" s="2"/>
      <c r="C84" s="2"/>
      <c r="D84" s="2"/>
      <c r="E84" s="2"/>
      <c r="F84" s="37"/>
      <c r="G84" s="37"/>
      <c r="H84" s="43">
        <f t="shared" si="1"/>
        <v>0</v>
      </c>
      <c r="I84" s="2"/>
      <c r="J84" s="2"/>
      <c r="K84" s="2"/>
      <c r="L84" s="2"/>
      <c r="M84" s="2"/>
      <c r="N84" s="2"/>
    </row>
    <row r="85" spans="1:14" x14ac:dyDescent="0.25">
      <c r="A85" s="2"/>
      <c r="B85" s="2"/>
      <c r="C85" s="2"/>
      <c r="D85" s="2"/>
      <c r="E85" s="2"/>
      <c r="F85" s="37"/>
      <c r="G85" s="37"/>
      <c r="H85" s="43">
        <f t="shared" si="1"/>
        <v>0</v>
      </c>
      <c r="I85" s="2"/>
      <c r="J85" s="2"/>
      <c r="K85" s="2"/>
      <c r="L85" s="2"/>
      <c r="M85" s="2"/>
      <c r="N85" s="2"/>
    </row>
    <row r="86" spans="1:14" x14ac:dyDescent="0.25">
      <c r="A86" s="2"/>
      <c r="B86" s="2"/>
      <c r="C86" s="2"/>
      <c r="D86" s="2"/>
      <c r="E86" s="2"/>
      <c r="F86" s="37"/>
      <c r="G86" s="37"/>
      <c r="H86" s="43">
        <f t="shared" si="1"/>
        <v>0</v>
      </c>
      <c r="I86" s="2"/>
      <c r="J86" s="2"/>
      <c r="K86" s="2"/>
      <c r="L86" s="2"/>
      <c r="M86" s="2"/>
      <c r="N86" s="2"/>
    </row>
    <row r="87" spans="1:14" x14ac:dyDescent="0.25">
      <c r="A87" s="2"/>
      <c r="B87" s="2"/>
      <c r="C87" s="2"/>
      <c r="D87" s="2"/>
      <c r="E87" s="2"/>
      <c r="F87" s="37"/>
      <c r="G87" s="37"/>
      <c r="H87" s="43">
        <f t="shared" si="1"/>
        <v>0</v>
      </c>
      <c r="I87" s="2"/>
      <c r="J87" s="2"/>
      <c r="K87" s="2"/>
      <c r="L87" s="2"/>
      <c r="M87" s="2"/>
      <c r="N87" s="2"/>
    </row>
    <row r="88" spans="1:14" x14ac:dyDescent="0.25">
      <c r="A88" s="2"/>
      <c r="B88" s="2"/>
      <c r="C88" s="2"/>
      <c r="D88" s="2"/>
      <c r="E88" s="2"/>
      <c r="F88" s="37"/>
      <c r="G88" s="37"/>
      <c r="H88" s="43">
        <f t="shared" si="1"/>
        <v>0</v>
      </c>
      <c r="I88" s="2"/>
      <c r="J88" s="2"/>
      <c r="K88" s="2"/>
      <c r="L88" s="2"/>
      <c r="M88" s="2"/>
      <c r="N88" s="2"/>
    </row>
    <row r="89" spans="1:14" x14ac:dyDescent="0.25">
      <c r="A89" s="2"/>
      <c r="B89" s="2"/>
      <c r="C89" s="2"/>
      <c r="D89" s="2"/>
      <c r="E89" s="2"/>
      <c r="F89" s="37"/>
      <c r="G89" s="37"/>
      <c r="H89" s="43">
        <f t="shared" si="1"/>
        <v>0</v>
      </c>
      <c r="I89" s="2"/>
      <c r="J89" s="2"/>
      <c r="K89" s="2"/>
      <c r="L89" s="2"/>
      <c r="M89" s="2"/>
      <c r="N89" s="2"/>
    </row>
    <row r="90" spans="1:14" x14ac:dyDescent="0.25">
      <c r="A90" s="2"/>
      <c r="B90" s="2"/>
      <c r="C90" s="2"/>
      <c r="D90" s="2"/>
      <c r="E90" s="2"/>
      <c r="F90" s="37"/>
      <c r="G90" s="37"/>
      <c r="H90" s="43">
        <f t="shared" si="1"/>
        <v>0</v>
      </c>
      <c r="I90" s="2"/>
      <c r="J90" s="2"/>
      <c r="K90" s="2"/>
      <c r="L90" s="2"/>
      <c r="M90" s="2"/>
      <c r="N90" s="2"/>
    </row>
    <row r="91" spans="1:14" x14ac:dyDescent="0.25">
      <c r="A91" s="2"/>
      <c r="B91" s="2"/>
      <c r="C91" s="2"/>
      <c r="D91" s="2"/>
      <c r="E91" s="2"/>
      <c r="F91" s="37"/>
      <c r="G91" s="37"/>
      <c r="H91" s="43">
        <f t="shared" si="1"/>
        <v>0</v>
      </c>
      <c r="I91" s="2"/>
      <c r="J91" s="2"/>
      <c r="K91" s="2"/>
      <c r="L91" s="2"/>
      <c r="M91" s="2"/>
      <c r="N91" s="2"/>
    </row>
    <row r="92" spans="1:14" x14ac:dyDescent="0.25">
      <c r="A92" s="2"/>
      <c r="B92" s="2"/>
      <c r="C92" s="2"/>
      <c r="D92" s="2"/>
      <c r="E92" s="2"/>
      <c r="F92" s="37"/>
      <c r="G92" s="37"/>
      <c r="H92" s="43">
        <f t="shared" si="1"/>
        <v>0</v>
      </c>
      <c r="I92" s="2"/>
      <c r="J92" s="2"/>
      <c r="K92" s="2"/>
      <c r="L92" s="2"/>
      <c r="M92" s="2"/>
      <c r="N92" s="2"/>
    </row>
    <row r="93" spans="1:14" x14ac:dyDescent="0.25">
      <c r="A93" s="2"/>
      <c r="B93" s="2"/>
      <c r="C93" s="2"/>
      <c r="D93" s="2"/>
      <c r="E93" s="2"/>
      <c r="F93" s="37"/>
      <c r="G93" s="37"/>
      <c r="H93" s="43">
        <f t="shared" si="1"/>
        <v>0</v>
      </c>
      <c r="I93" s="2"/>
      <c r="J93" s="2"/>
      <c r="K93" s="2"/>
      <c r="L93" s="2"/>
      <c r="M93" s="2"/>
      <c r="N93" s="2"/>
    </row>
    <row r="94" spans="1:14" x14ac:dyDescent="0.25">
      <c r="A94" s="2"/>
      <c r="B94" s="2"/>
      <c r="C94" s="2"/>
      <c r="D94" s="2"/>
      <c r="E94" s="2"/>
      <c r="F94" s="37"/>
      <c r="G94" s="37"/>
      <c r="H94" s="43">
        <f t="shared" si="1"/>
        <v>0</v>
      </c>
      <c r="I94" s="2"/>
      <c r="J94" s="2"/>
      <c r="K94" s="2"/>
      <c r="L94" s="2"/>
      <c r="M94" s="2"/>
      <c r="N94" s="2"/>
    </row>
    <row r="95" spans="1:14" x14ac:dyDescent="0.25">
      <c r="A95" s="2"/>
      <c r="B95" s="2"/>
      <c r="C95" s="2"/>
      <c r="D95" s="2"/>
      <c r="E95" s="2"/>
      <c r="F95" s="37"/>
      <c r="G95" s="37"/>
      <c r="H95" s="43">
        <f t="shared" si="1"/>
        <v>0</v>
      </c>
      <c r="I95" s="2"/>
      <c r="J95" s="2"/>
      <c r="K95" s="2"/>
      <c r="L95" s="2"/>
      <c r="M95" s="2"/>
      <c r="N95" s="2"/>
    </row>
    <row r="96" spans="1:14" x14ac:dyDescent="0.25">
      <c r="A96" s="2"/>
      <c r="B96" s="2"/>
      <c r="C96" s="2"/>
      <c r="D96" s="2"/>
      <c r="E96" s="2"/>
      <c r="F96" s="37"/>
      <c r="G96" s="37"/>
      <c r="H96" s="43">
        <f t="shared" si="1"/>
        <v>0</v>
      </c>
      <c r="I96" s="2"/>
      <c r="J96" s="2"/>
      <c r="K96" s="2"/>
      <c r="L96" s="2"/>
      <c r="M96" s="2"/>
      <c r="N96" s="2"/>
    </row>
    <row r="97" spans="1:14" x14ac:dyDescent="0.25">
      <c r="A97" s="2"/>
      <c r="B97" s="2"/>
      <c r="C97" s="2"/>
      <c r="D97" s="2"/>
      <c r="E97" s="2"/>
      <c r="F97" s="37"/>
      <c r="G97" s="37"/>
      <c r="H97" s="43">
        <f t="shared" si="1"/>
        <v>0</v>
      </c>
      <c r="I97" s="2"/>
      <c r="J97" s="2"/>
      <c r="K97" s="2"/>
      <c r="L97" s="2"/>
      <c r="M97" s="2"/>
      <c r="N97" s="2"/>
    </row>
    <row r="98" spans="1:14" x14ac:dyDescent="0.25">
      <c r="A98" s="2"/>
      <c r="B98" s="2"/>
      <c r="C98" s="2"/>
      <c r="D98" s="2"/>
      <c r="E98" s="2"/>
      <c r="F98" s="37"/>
      <c r="G98" s="37"/>
      <c r="H98" s="43">
        <f t="shared" si="1"/>
        <v>0</v>
      </c>
      <c r="I98" s="2"/>
      <c r="J98" s="2"/>
      <c r="K98" s="2"/>
      <c r="L98" s="2"/>
      <c r="M98" s="2"/>
      <c r="N98" s="2"/>
    </row>
    <row r="99" spans="1:14" x14ac:dyDescent="0.25">
      <c r="A99" s="2"/>
      <c r="B99" s="2"/>
      <c r="C99" s="2"/>
      <c r="D99" s="2"/>
      <c r="E99" s="2"/>
      <c r="F99" s="37"/>
      <c r="G99" s="37"/>
      <c r="H99" s="43">
        <f t="shared" si="1"/>
        <v>0</v>
      </c>
      <c r="I99" s="2"/>
      <c r="J99" s="2"/>
      <c r="K99" s="2"/>
      <c r="L99" s="2"/>
      <c r="M99" s="2"/>
      <c r="N99" s="2"/>
    </row>
    <row r="100" spans="1:14" x14ac:dyDescent="0.25">
      <c r="A100" s="2"/>
      <c r="B100" s="2"/>
      <c r="C100" s="2"/>
      <c r="D100" s="2"/>
      <c r="E100" s="2"/>
      <c r="F100" s="37"/>
      <c r="G100" s="37"/>
      <c r="H100" s="43">
        <f t="shared" si="1"/>
        <v>0</v>
      </c>
      <c r="I100" s="2"/>
      <c r="J100" s="2"/>
      <c r="K100" s="2"/>
      <c r="L100" s="2"/>
      <c r="M100" s="2"/>
      <c r="N100" s="2"/>
    </row>
    <row r="101" spans="1:14" x14ac:dyDescent="0.25">
      <c r="A101" s="2"/>
      <c r="B101" s="2"/>
      <c r="C101" s="2"/>
      <c r="D101" s="2"/>
      <c r="E101" s="2"/>
      <c r="F101" s="37"/>
      <c r="G101" s="37"/>
      <c r="H101" s="43">
        <f t="shared" si="1"/>
        <v>0</v>
      </c>
      <c r="I101" s="2"/>
      <c r="J101" s="2"/>
      <c r="K101" s="2"/>
      <c r="L101" s="2"/>
      <c r="M101" s="2"/>
      <c r="N101" s="2"/>
    </row>
    <row r="102" spans="1:14" x14ac:dyDescent="0.25">
      <c r="A102" s="2"/>
      <c r="B102" s="2"/>
      <c r="C102" s="2"/>
      <c r="D102" s="2"/>
      <c r="E102" s="2"/>
      <c r="F102" s="37"/>
      <c r="G102" s="37"/>
      <c r="H102" s="43">
        <f t="shared" si="1"/>
        <v>0</v>
      </c>
      <c r="I102" s="2"/>
      <c r="J102" s="2"/>
      <c r="K102" s="2"/>
      <c r="L102" s="2"/>
      <c r="M102" s="2"/>
      <c r="N102" s="2"/>
    </row>
    <row r="103" spans="1:14" x14ac:dyDescent="0.25">
      <c r="A103" s="2"/>
      <c r="B103" s="2"/>
      <c r="C103" s="2"/>
      <c r="D103" s="2"/>
      <c r="E103" s="2"/>
      <c r="F103" s="37"/>
      <c r="G103" s="37"/>
      <c r="H103" s="43">
        <f t="shared" si="1"/>
        <v>0</v>
      </c>
      <c r="I103" s="2"/>
      <c r="J103" s="2"/>
      <c r="K103" s="2"/>
      <c r="L103" s="2"/>
      <c r="M103" s="2"/>
      <c r="N103" s="2"/>
    </row>
    <row r="104" spans="1:14" x14ac:dyDescent="0.25">
      <c r="A104" s="2"/>
      <c r="B104" s="2"/>
      <c r="C104" s="2"/>
      <c r="D104" s="2"/>
      <c r="E104" s="2"/>
      <c r="F104" s="37"/>
      <c r="G104" s="37"/>
      <c r="H104" s="43">
        <f t="shared" si="1"/>
        <v>0</v>
      </c>
      <c r="I104" s="2"/>
      <c r="J104" s="2"/>
      <c r="K104" s="2"/>
      <c r="L104" s="2"/>
      <c r="M104" s="2"/>
      <c r="N104" s="2"/>
    </row>
    <row r="105" spans="1:14" x14ac:dyDescent="0.25">
      <c r="A105" s="2"/>
      <c r="B105" s="2"/>
      <c r="C105" s="2"/>
      <c r="D105" s="2"/>
      <c r="E105" s="2"/>
      <c r="F105" s="37"/>
      <c r="G105" s="37"/>
      <c r="H105" s="43">
        <f t="shared" si="1"/>
        <v>0</v>
      </c>
      <c r="I105" s="2"/>
      <c r="J105" s="2"/>
      <c r="K105" s="2"/>
      <c r="L105" s="2"/>
      <c r="M105" s="2"/>
      <c r="N105" s="2"/>
    </row>
    <row r="106" spans="1:14" x14ac:dyDescent="0.25">
      <c r="A106" s="2"/>
      <c r="B106" s="2"/>
      <c r="C106" s="2"/>
      <c r="D106" s="2"/>
      <c r="E106" s="2"/>
      <c r="F106" s="37"/>
      <c r="G106" s="37"/>
      <c r="H106" s="43">
        <f t="shared" si="1"/>
        <v>0</v>
      </c>
      <c r="I106" s="2"/>
      <c r="J106" s="2"/>
      <c r="K106" s="2"/>
      <c r="L106" s="2"/>
      <c r="M106" s="2"/>
      <c r="N106" s="2"/>
    </row>
    <row r="107" spans="1:14" x14ac:dyDescent="0.25">
      <c r="A107" s="2"/>
      <c r="B107" s="2"/>
      <c r="C107" s="2"/>
      <c r="D107" s="2"/>
      <c r="E107" s="2"/>
      <c r="F107" s="37"/>
      <c r="G107" s="37"/>
      <c r="H107" s="43">
        <f t="shared" si="1"/>
        <v>0</v>
      </c>
      <c r="I107" s="2"/>
      <c r="J107" s="2"/>
      <c r="K107" s="2"/>
      <c r="L107" s="2"/>
      <c r="M107" s="2"/>
      <c r="N107" s="2"/>
    </row>
    <row r="108" spans="1:14" x14ac:dyDescent="0.25">
      <c r="A108" s="2"/>
      <c r="B108" s="2"/>
      <c r="C108" s="2"/>
      <c r="D108" s="2"/>
      <c r="E108" s="2"/>
      <c r="F108" s="37"/>
      <c r="G108" s="37"/>
      <c r="H108" s="43">
        <f t="shared" si="1"/>
        <v>0</v>
      </c>
      <c r="I108" s="2"/>
      <c r="J108" s="2"/>
      <c r="K108" s="2"/>
      <c r="L108" s="2"/>
      <c r="M108" s="2"/>
      <c r="N108" s="2"/>
    </row>
    <row r="109" spans="1:14" x14ac:dyDescent="0.25">
      <c r="A109" s="2"/>
      <c r="B109" s="2"/>
      <c r="C109" s="2"/>
      <c r="D109" s="2"/>
      <c r="E109" s="2"/>
      <c r="F109" s="37"/>
      <c r="G109" s="37"/>
      <c r="H109" s="43">
        <f t="shared" si="1"/>
        <v>0</v>
      </c>
      <c r="I109" s="2"/>
      <c r="J109" s="2"/>
      <c r="K109" s="2"/>
      <c r="L109" s="2"/>
      <c r="M109" s="2"/>
      <c r="N109" s="2"/>
    </row>
    <row r="110" spans="1:14" x14ac:dyDescent="0.25">
      <c r="A110" s="2"/>
      <c r="B110" s="2"/>
      <c r="C110" s="2"/>
      <c r="D110" s="2"/>
      <c r="E110" s="2"/>
      <c r="F110" s="37"/>
      <c r="G110" s="37"/>
      <c r="H110" s="43">
        <f t="shared" si="1"/>
        <v>0</v>
      </c>
      <c r="I110" s="2"/>
      <c r="J110" s="2"/>
      <c r="K110" s="2"/>
      <c r="L110" s="2"/>
      <c r="M110" s="2"/>
      <c r="N110" s="2"/>
    </row>
    <row r="111" spans="1:14" x14ac:dyDescent="0.25">
      <c r="A111" s="2"/>
      <c r="B111" s="2"/>
      <c r="C111" s="2"/>
      <c r="D111" s="2"/>
      <c r="E111" s="2"/>
      <c r="F111" s="37"/>
      <c r="G111" s="37"/>
      <c r="H111" s="43">
        <f t="shared" si="1"/>
        <v>0</v>
      </c>
      <c r="I111" s="2"/>
      <c r="J111" s="2"/>
      <c r="K111" s="2"/>
      <c r="L111" s="2"/>
      <c r="M111" s="2"/>
      <c r="N111" s="2"/>
    </row>
    <row r="112" spans="1:14" x14ac:dyDescent="0.25">
      <c r="A112" s="2"/>
      <c r="B112" s="2"/>
      <c r="C112" s="2"/>
      <c r="D112" s="2"/>
      <c r="E112" s="2"/>
      <c r="F112" s="37"/>
      <c r="G112" s="37"/>
      <c r="H112" s="43">
        <f t="shared" si="1"/>
        <v>0</v>
      </c>
      <c r="I112" s="2"/>
      <c r="J112" s="2"/>
      <c r="K112" s="2"/>
      <c r="L112" s="2"/>
      <c r="M112" s="2"/>
      <c r="N112" s="2"/>
    </row>
    <row r="113" spans="1:14" x14ac:dyDescent="0.25">
      <c r="A113" s="2"/>
      <c r="B113" s="2"/>
      <c r="C113" s="2"/>
      <c r="D113" s="2"/>
      <c r="E113" s="2"/>
      <c r="F113" s="37"/>
      <c r="G113" s="37"/>
      <c r="H113" s="43">
        <f t="shared" si="1"/>
        <v>0</v>
      </c>
      <c r="I113" s="2"/>
      <c r="J113" s="2"/>
      <c r="K113" s="2"/>
      <c r="L113" s="2"/>
      <c r="M113" s="2"/>
      <c r="N113" s="2"/>
    </row>
    <row r="114" spans="1:14" x14ac:dyDescent="0.25">
      <c r="A114" s="2"/>
      <c r="B114" s="2"/>
      <c r="C114" s="2"/>
      <c r="D114" s="2"/>
      <c r="E114" s="2"/>
      <c r="F114" s="37"/>
      <c r="G114" s="37"/>
      <c r="H114" s="43">
        <f t="shared" si="1"/>
        <v>0</v>
      </c>
      <c r="I114" s="2"/>
      <c r="J114" s="2"/>
      <c r="K114" s="2"/>
      <c r="L114" s="2"/>
      <c r="M114" s="2"/>
      <c r="N114" s="2"/>
    </row>
    <row r="115" spans="1:14" x14ac:dyDescent="0.25">
      <c r="A115" s="2"/>
      <c r="B115" s="2"/>
      <c r="C115" s="2"/>
      <c r="D115" s="2"/>
      <c r="E115" s="2"/>
      <c r="F115" s="37"/>
      <c r="G115" s="37"/>
      <c r="H115" s="43">
        <f t="shared" si="1"/>
        <v>0</v>
      </c>
      <c r="I115" s="2"/>
      <c r="J115" s="2"/>
      <c r="K115" s="2"/>
      <c r="L115" s="2"/>
      <c r="M115" s="2"/>
      <c r="N115" s="2"/>
    </row>
    <row r="116" spans="1:14" x14ac:dyDescent="0.25">
      <c r="A116" s="2"/>
      <c r="B116" s="2"/>
      <c r="C116" s="2"/>
      <c r="D116" s="2"/>
      <c r="E116" s="2"/>
      <c r="F116" s="37"/>
      <c r="G116" s="37"/>
      <c r="H116" s="43">
        <f t="shared" si="1"/>
        <v>0</v>
      </c>
      <c r="I116" s="2"/>
      <c r="J116" s="2"/>
      <c r="K116" s="2"/>
      <c r="L116" s="2"/>
      <c r="M116" s="2"/>
      <c r="N116" s="2"/>
    </row>
    <row r="117" spans="1:14" x14ac:dyDescent="0.25">
      <c r="A117" s="2"/>
      <c r="B117" s="2"/>
      <c r="C117" s="2"/>
      <c r="D117" s="2"/>
      <c r="E117" s="2"/>
      <c r="F117" s="37"/>
      <c r="G117" s="37"/>
      <c r="H117" s="43">
        <f t="shared" si="1"/>
        <v>0</v>
      </c>
      <c r="I117" s="2"/>
      <c r="J117" s="2"/>
      <c r="K117" s="2"/>
      <c r="L117" s="2"/>
      <c r="M117" s="2"/>
      <c r="N117" s="2"/>
    </row>
    <row r="118" spans="1:14" x14ac:dyDescent="0.25">
      <c r="A118" s="2"/>
      <c r="B118" s="2"/>
      <c r="C118" s="2"/>
      <c r="D118" s="2"/>
      <c r="E118" s="2"/>
      <c r="F118" s="37"/>
      <c r="G118" s="37"/>
      <c r="H118" s="43">
        <f t="shared" si="1"/>
        <v>0</v>
      </c>
      <c r="I118" s="2"/>
      <c r="J118" s="2"/>
      <c r="K118" s="2"/>
      <c r="L118" s="2"/>
      <c r="M118" s="2"/>
      <c r="N118" s="2"/>
    </row>
    <row r="119" spans="1:14" x14ac:dyDescent="0.25">
      <c r="A119" s="2"/>
      <c r="B119" s="2"/>
      <c r="C119" s="2"/>
      <c r="D119" s="2"/>
      <c r="E119" s="2"/>
      <c r="F119" s="37"/>
      <c r="G119" s="37"/>
      <c r="H119" s="43">
        <f t="shared" si="1"/>
        <v>0</v>
      </c>
      <c r="I119" s="2"/>
      <c r="J119" s="2"/>
      <c r="K119" s="2"/>
      <c r="L119" s="2"/>
      <c r="M119" s="2"/>
      <c r="N119" s="2"/>
    </row>
    <row r="120" spans="1:14" x14ac:dyDescent="0.25">
      <c r="A120" s="2"/>
      <c r="B120" s="2"/>
      <c r="C120" s="2"/>
      <c r="D120" s="2"/>
      <c r="E120" s="2"/>
      <c r="F120" s="37"/>
      <c r="G120" s="37"/>
      <c r="H120" s="43">
        <f t="shared" si="1"/>
        <v>0</v>
      </c>
      <c r="I120" s="2"/>
      <c r="J120" s="2"/>
      <c r="K120" s="2"/>
      <c r="L120" s="2"/>
      <c r="M120" s="2"/>
      <c r="N120" s="2"/>
    </row>
    <row r="121" spans="1:14" x14ac:dyDescent="0.25">
      <c r="A121" s="2"/>
      <c r="B121" s="2"/>
      <c r="C121" s="2"/>
      <c r="D121" s="2"/>
      <c r="E121" s="2"/>
      <c r="F121" s="37"/>
      <c r="G121" s="37"/>
      <c r="H121" s="43">
        <f t="shared" si="1"/>
        <v>0</v>
      </c>
      <c r="I121" s="2"/>
      <c r="J121" s="2"/>
      <c r="K121" s="2"/>
      <c r="L121" s="2"/>
      <c r="M121" s="2"/>
      <c r="N121" s="2"/>
    </row>
    <row r="122" spans="1:14" x14ac:dyDescent="0.25">
      <c r="A122" s="2"/>
      <c r="B122" s="2"/>
      <c r="C122" s="2"/>
      <c r="D122" s="2"/>
      <c r="E122" s="2"/>
      <c r="F122" s="37"/>
      <c r="G122" s="37"/>
      <c r="H122" s="43">
        <f t="shared" si="1"/>
        <v>0</v>
      </c>
      <c r="I122" s="2"/>
      <c r="J122" s="2"/>
      <c r="K122" s="2"/>
      <c r="L122" s="2"/>
      <c r="M122" s="2"/>
      <c r="N122" s="2"/>
    </row>
    <row r="123" spans="1:14" x14ac:dyDescent="0.25">
      <c r="A123" s="2"/>
      <c r="B123" s="2"/>
      <c r="C123" s="2"/>
      <c r="D123" s="2"/>
      <c r="E123" s="2"/>
      <c r="F123" s="37"/>
      <c r="G123" s="37"/>
      <c r="H123" s="43">
        <f t="shared" si="1"/>
        <v>0</v>
      </c>
      <c r="I123" s="2"/>
      <c r="J123" s="2"/>
      <c r="K123" s="2"/>
      <c r="L123" s="2"/>
      <c r="M123" s="2"/>
      <c r="N123" s="2"/>
    </row>
    <row r="124" spans="1:14" x14ac:dyDescent="0.25">
      <c r="A124" s="2"/>
      <c r="B124" s="2"/>
      <c r="C124" s="2"/>
      <c r="D124" s="2"/>
      <c r="E124" s="2"/>
      <c r="F124" s="37"/>
      <c r="G124" s="37"/>
      <c r="H124" s="43">
        <f t="shared" si="1"/>
        <v>0</v>
      </c>
      <c r="I124" s="2"/>
      <c r="J124" s="2"/>
      <c r="K124" s="2"/>
      <c r="L124" s="2"/>
      <c r="M124" s="2"/>
      <c r="N124" s="2"/>
    </row>
    <row r="125" spans="1:14" x14ac:dyDescent="0.25">
      <c r="A125" s="2"/>
      <c r="B125" s="2"/>
      <c r="C125" s="2"/>
      <c r="D125" s="2"/>
      <c r="E125" s="2"/>
      <c r="F125" s="37"/>
      <c r="G125" s="37"/>
      <c r="H125" s="43">
        <f t="shared" si="1"/>
        <v>0</v>
      </c>
      <c r="I125" s="2"/>
      <c r="J125" s="2"/>
      <c r="K125" s="2"/>
      <c r="L125" s="2"/>
      <c r="M125" s="2"/>
      <c r="N125" s="2"/>
    </row>
    <row r="126" spans="1:14" x14ac:dyDescent="0.25">
      <c r="A126" s="2"/>
      <c r="B126" s="2"/>
      <c r="C126" s="2"/>
      <c r="D126" s="2"/>
      <c r="E126" s="2"/>
      <c r="F126" s="37"/>
      <c r="G126" s="37"/>
      <c r="H126" s="43">
        <f t="shared" si="1"/>
        <v>0</v>
      </c>
      <c r="I126" s="2"/>
      <c r="J126" s="2"/>
      <c r="K126" s="2"/>
      <c r="L126" s="2"/>
      <c r="M126" s="2"/>
      <c r="N126" s="2"/>
    </row>
    <row r="127" spans="1:14" x14ac:dyDescent="0.25">
      <c r="A127" s="2"/>
      <c r="B127" s="2"/>
      <c r="C127" s="2"/>
      <c r="D127" s="2"/>
      <c r="E127" s="2"/>
      <c r="F127" s="37"/>
      <c r="G127" s="37"/>
      <c r="H127" s="43">
        <f t="shared" si="1"/>
        <v>0</v>
      </c>
      <c r="I127" s="2"/>
      <c r="J127" s="2"/>
      <c r="K127" s="2"/>
      <c r="L127" s="2"/>
      <c r="M127" s="2"/>
      <c r="N127" s="2"/>
    </row>
    <row r="128" spans="1:14" x14ac:dyDescent="0.25">
      <c r="A128" s="2"/>
      <c r="B128" s="2"/>
      <c r="C128" s="2"/>
      <c r="D128" s="2"/>
      <c r="E128" s="2"/>
      <c r="F128" s="37"/>
      <c r="G128" s="37"/>
      <c r="H128" s="43">
        <f t="shared" si="1"/>
        <v>0</v>
      </c>
      <c r="I128" s="2"/>
      <c r="J128" s="2"/>
      <c r="K128" s="2"/>
      <c r="L128" s="2"/>
      <c r="M128" s="2"/>
      <c r="N128" s="2"/>
    </row>
    <row r="129" spans="1:14" x14ac:dyDescent="0.25">
      <c r="A129" s="2"/>
      <c r="B129" s="2"/>
      <c r="C129" s="2"/>
      <c r="D129" s="2"/>
      <c r="E129" s="2"/>
      <c r="F129" s="37"/>
      <c r="G129" s="37"/>
      <c r="H129" s="43">
        <f t="shared" si="1"/>
        <v>0</v>
      </c>
      <c r="I129" s="2"/>
      <c r="J129" s="2"/>
      <c r="K129" s="2"/>
      <c r="L129" s="2"/>
      <c r="M129" s="2"/>
      <c r="N129" s="2"/>
    </row>
    <row r="130" spans="1:14" x14ac:dyDescent="0.25">
      <c r="A130" s="2"/>
      <c r="B130" s="2"/>
      <c r="C130" s="2"/>
      <c r="D130" s="2"/>
      <c r="E130" s="2"/>
      <c r="F130" s="37"/>
      <c r="G130" s="37"/>
      <c r="H130" s="43">
        <f t="shared" si="1"/>
        <v>0</v>
      </c>
      <c r="I130" s="2"/>
      <c r="J130" s="2"/>
      <c r="K130" s="2"/>
      <c r="L130" s="2"/>
      <c r="M130" s="2"/>
      <c r="N130" s="2"/>
    </row>
    <row r="131" spans="1:14" x14ac:dyDescent="0.25">
      <c r="A131" s="2"/>
      <c r="B131" s="2"/>
      <c r="C131" s="2"/>
      <c r="D131" s="2"/>
      <c r="E131" s="2"/>
      <c r="F131" s="37"/>
      <c r="G131" s="37"/>
      <c r="H131" s="43">
        <f t="shared" si="1"/>
        <v>0</v>
      </c>
      <c r="I131" s="2"/>
      <c r="J131" s="2"/>
      <c r="K131" s="2"/>
      <c r="L131" s="2"/>
      <c r="M131" s="2"/>
      <c r="N131" s="2"/>
    </row>
    <row r="132" spans="1:14" x14ac:dyDescent="0.25">
      <c r="A132" s="2"/>
      <c r="B132" s="2"/>
      <c r="C132" s="2"/>
      <c r="D132" s="2"/>
      <c r="E132" s="2"/>
      <c r="F132" s="37"/>
      <c r="G132" s="37"/>
      <c r="H132" s="43">
        <f t="shared" si="1"/>
        <v>0</v>
      </c>
      <c r="I132" s="2"/>
      <c r="J132" s="2"/>
      <c r="K132" s="2"/>
      <c r="L132" s="2"/>
      <c r="M132" s="2"/>
      <c r="N132" s="2"/>
    </row>
    <row r="133" spans="1:14" x14ac:dyDescent="0.25">
      <c r="A133" s="2"/>
      <c r="B133" s="2"/>
      <c r="C133" s="2"/>
      <c r="D133" s="2"/>
      <c r="E133" s="2"/>
      <c r="F133" s="37"/>
      <c r="G133" s="37"/>
      <c r="H133" s="43">
        <f t="shared" ref="H133:H140" si="2">NETWORKDAYS(F133,G133)</f>
        <v>0</v>
      </c>
      <c r="I133" s="2"/>
      <c r="J133" s="2"/>
      <c r="K133" s="2"/>
      <c r="L133" s="2"/>
      <c r="M133" s="2"/>
      <c r="N133" s="2"/>
    </row>
    <row r="134" spans="1:14" x14ac:dyDescent="0.25">
      <c r="A134" s="2"/>
      <c r="B134" s="2"/>
      <c r="C134" s="2"/>
      <c r="D134" s="2"/>
      <c r="E134" s="2"/>
      <c r="F134" s="37"/>
      <c r="G134" s="37"/>
      <c r="H134" s="43">
        <f t="shared" si="2"/>
        <v>0</v>
      </c>
      <c r="I134" s="2"/>
      <c r="J134" s="2"/>
      <c r="K134" s="2"/>
      <c r="L134" s="2"/>
      <c r="M134" s="2"/>
      <c r="N134" s="2"/>
    </row>
    <row r="135" spans="1:14" x14ac:dyDescent="0.25">
      <c r="A135" s="2"/>
      <c r="B135" s="2"/>
      <c r="C135" s="2"/>
      <c r="D135" s="2"/>
      <c r="E135" s="2"/>
      <c r="F135" s="37"/>
      <c r="G135" s="37"/>
      <c r="H135" s="43">
        <f t="shared" si="2"/>
        <v>0</v>
      </c>
      <c r="I135" s="2"/>
      <c r="J135" s="2"/>
      <c r="K135" s="2"/>
      <c r="L135" s="2"/>
      <c r="M135" s="2"/>
      <c r="N135" s="2"/>
    </row>
    <row r="136" spans="1:14" x14ac:dyDescent="0.25">
      <c r="A136" s="2"/>
      <c r="B136" s="2"/>
      <c r="C136" s="2"/>
      <c r="D136" s="2"/>
      <c r="E136" s="2"/>
      <c r="F136" s="37"/>
      <c r="G136" s="37"/>
      <c r="H136" s="43">
        <f t="shared" si="2"/>
        <v>0</v>
      </c>
      <c r="I136" s="2"/>
      <c r="J136" s="2"/>
      <c r="K136" s="2"/>
      <c r="L136" s="2"/>
      <c r="M136" s="2"/>
      <c r="N136" s="2"/>
    </row>
    <row r="137" spans="1:14" x14ac:dyDescent="0.25">
      <c r="A137" s="2"/>
      <c r="B137" s="2"/>
      <c r="C137" s="2"/>
      <c r="D137" s="2"/>
      <c r="E137" s="2"/>
      <c r="F137" s="37"/>
      <c r="G137" s="37"/>
      <c r="H137" s="43">
        <f t="shared" si="2"/>
        <v>0</v>
      </c>
      <c r="I137" s="2"/>
      <c r="J137" s="2"/>
      <c r="K137" s="2"/>
      <c r="L137" s="2"/>
      <c r="M137" s="2"/>
      <c r="N137" s="2"/>
    </row>
    <row r="138" spans="1:14" x14ac:dyDescent="0.25">
      <c r="A138" s="2"/>
      <c r="B138" s="2"/>
      <c r="C138" s="2"/>
      <c r="D138" s="2"/>
      <c r="E138" s="2"/>
      <c r="F138" s="37"/>
      <c r="G138" s="37"/>
      <c r="H138" s="43">
        <f t="shared" si="2"/>
        <v>0</v>
      </c>
      <c r="I138" s="2"/>
      <c r="J138" s="2"/>
      <c r="K138" s="2"/>
      <c r="L138" s="2"/>
      <c r="M138" s="2"/>
      <c r="N138" s="2"/>
    </row>
    <row r="139" spans="1:14" x14ac:dyDescent="0.25">
      <c r="A139" s="2"/>
      <c r="B139" s="2"/>
      <c r="C139" s="2"/>
      <c r="D139" s="2"/>
      <c r="E139" s="2"/>
      <c r="F139" s="37"/>
      <c r="G139" s="37"/>
      <c r="H139" s="43">
        <f t="shared" si="2"/>
        <v>0</v>
      </c>
      <c r="I139" s="2"/>
      <c r="J139" s="2"/>
      <c r="K139" s="2"/>
      <c r="L139" s="2"/>
      <c r="M139" s="2"/>
      <c r="N139" s="2"/>
    </row>
    <row r="140" spans="1:14" x14ac:dyDescent="0.25">
      <c r="A140" s="2"/>
      <c r="B140" s="2"/>
      <c r="C140" s="2"/>
      <c r="D140" s="2"/>
      <c r="E140" s="2"/>
      <c r="F140" s="37"/>
      <c r="G140" s="37"/>
      <c r="H140" s="43">
        <f t="shared" si="2"/>
        <v>0</v>
      </c>
      <c r="I140" s="2"/>
      <c r="J140" s="2"/>
      <c r="K140" s="2"/>
      <c r="L140" s="2"/>
      <c r="M140" s="2"/>
      <c r="N140" s="2"/>
    </row>
  </sheetData>
  <dataValidations count="5">
    <dataValidation type="list" allowBlank="1" showInputMessage="1" showErrorMessage="1" sqref="J4:J140" xr:uid="{9AE67174-2B40-4441-833C-A1F80BAABA00}">
      <formula1>"Critical,High,Medium,Low"</formula1>
    </dataValidation>
    <dataValidation type="list" sqref="M4:N140" xr:uid="{C30E83D1-F470-4CBC-B433-344639ED96E2}">
      <formula1>"TBC,Not Started,In Progress,Ready,Blocked,Complete,N/A"</formula1>
    </dataValidation>
    <dataValidation type="list" allowBlank="1" showInputMessage="1" showErrorMessage="1" sqref="I4:I140" xr:uid="{1084A6D6-C371-420E-A1F0-B715692EC417}">
      <formula1>"10%,20%,30%,40%,50%,60%,70%,80%,90%,100%"</formula1>
    </dataValidation>
    <dataValidation type="list" allowBlank="1" showInputMessage="1" showErrorMessage="1" sqref="K4:K140" xr:uid="{84122B17-03EF-4366-9FB2-4DC82DDD736C}">
      <formula1>"Yes,No"</formula1>
    </dataValidation>
    <dataValidation type="list" allowBlank="1" showInputMessage="1" showErrorMessage="1" sqref="A4:A140" xr:uid="{8FAF558C-C067-4A70-A597-51AF812DD573}">
      <formula1>"Public Web,Secure Web"</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BEAE-B642-4BBE-8983-A2E0F562F640}">
  <dimension ref="A1:N137"/>
  <sheetViews>
    <sheetView topLeftCell="A10" workbookViewId="0">
      <selection activeCell="A27" sqref="A20:XFD27"/>
    </sheetView>
  </sheetViews>
  <sheetFormatPr defaultColWidth="38.7109375" defaultRowHeight="15" x14ac:dyDescent="0.25"/>
  <cols>
    <col min="1" max="1" width="20.42578125" customWidth="1"/>
    <col min="2" max="2" width="28.140625" customWidth="1"/>
    <col min="3" max="3" width="26.7109375" customWidth="1"/>
    <col min="4" max="4" width="25.7109375" customWidth="1"/>
    <col min="5" max="5" width="45.42578125" customWidth="1"/>
    <col min="6" max="7" width="18.42578125" customWidth="1"/>
    <col min="8" max="8" width="12" customWidth="1"/>
    <col min="9" max="9" width="23.42578125" customWidth="1"/>
    <col min="10" max="10" width="14.42578125" customWidth="1"/>
    <col min="11" max="11" width="33.7109375" customWidth="1"/>
    <col min="12" max="12" width="28" customWidth="1"/>
    <col min="13" max="13" width="18.28515625" customWidth="1"/>
    <col min="14" max="14" width="62.7109375" customWidth="1"/>
  </cols>
  <sheetData>
    <row r="1" spans="1:14" ht="21.75" x14ac:dyDescent="0.25">
      <c r="A1" s="1" t="s">
        <v>54</v>
      </c>
      <c r="B1" s="1" t="s">
        <v>61</v>
      </c>
    </row>
    <row r="2" spans="1:14" ht="21.75" x14ac:dyDescent="0.25">
      <c r="A2" s="1" t="s">
        <v>1</v>
      </c>
      <c r="B2" s="1"/>
    </row>
    <row r="3" spans="1:14" ht="60" x14ac:dyDescent="0.25">
      <c r="A3" s="5" t="s">
        <v>2</v>
      </c>
      <c r="B3" s="5" t="s">
        <v>3</v>
      </c>
      <c r="C3" s="6" t="s">
        <v>4</v>
      </c>
      <c r="D3" s="4" t="s">
        <v>5</v>
      </c>
      <c r="E3" s="5" t="s">
        <v>6</v>
      </c>
      <c r="F3" s="5" t="s">
        <v>7</v>
      </c>
      <c r="G3" s="5" t="s">
        <v>8</v>
      </c>
      <c r="H3" s="5" t="s">
        <v>9</v>
      </c>
      <c r="I3" s="5" t="s">
        <v>10</v>
      </c>
      <c r="J3" s="5" t="s">
        <v>11</v>
      </c>
      <c r="K3" s="3" t="s">
        <v>12</v>
      </c>
      <c r="L3" s="3" t="s">
        <v>13</v>
      </c>
      <c r="M3" s="4" t="s">
        <v>14</v>
      </c>
      <c r="N3" s="44" t="s">
        <v>15</v>
      </c>
    </row>
    <row r="4" spans="1:14" ht="45" x14ac:dyDescent="0.25">
      <c r="A4" s="2" t="s">
        <v>35</v>
      </c>
      <c r="B4" s="2" t="s">
        <v>61</v>
      </c>
      <c r="C4" s="2" t="s">
        <v>61</v>
      </c>
      <c r="D4" s="2" t="s">
        <v>61</v>
      </c>
      <c r="E4" s="2" t="s">
        <v>60</v>
      </c>
      <c r="F4" s="37">
        <v>46181</v>
      </c>
      <c r="G4" s="37">
        <v>46203</v>
      </c>
      <c r="H4" s="43">
        <f>NETWORKDAYS(F4,G4)</f>
        <v>17</v>
      </c>
      <c r="I4" s="39">
        <v>0.7</v>
      </c>
      <c r="J4" s="2" t="s">
        <v>31</v>
      </c>
      <c r="K4" s="2" t="s">
        <v>27</v>
      </c>
      <c r="L4" s="2" t="s">
        <v>56</v>
      </c>
      <c r="M4" s="2" t="s">
        <v>36</v>
      </c>
      <c r="N4" s="2" t="s">
        <v>55</v>
      </c>
    </row>
    <row r="5" spans="1:14" ht="60" x14ac:dyDescent="0.25">
      <c r="A5" s="2" t="s">
        <v>35</v>
      </c>
      <c r="B5" s="2" t="s">
        <v>88</v>
      </c>
      <c r="C5" s="2" t="s">
        <v>88</v>
      </c>
      <c r="D5" s="2" t="s">
        <v>88</v>
      </c>
      <c r="E5" s="2" t="s">
        <v>89</v>
      </c>
      <c r="F5" s="37" t="s">
        <v>65</v>
      </c>
      <c r="G5" s="37" t="s">
        <v>90</v>
      </c>
      <c r="H5" s="37" t="s">
        <v>90</v>
      </c>
      <c r="I5" s="39">
        <v>0.1</v>
      </c>
      <c r="J5" s="2" t="s">
        <v>26</v>
      </c>
      <c r="K5" s="2" t="s">
        <v>32</v>
      </c>
      <c r="L5" s="2" t="s">
        <v>100</v>
      </c>
      <c r="M5" s="2" t="s">
        <v>29</v>
      </c>
      <c r="N5" s="2" t="s">
        <v>101</v>
      </c>
    </row>
    <row r="6" spans="1:14" ht="60" x14ac:dyDescent="0.25">
      <c r="A6" s="2" t="s">
        <v>35</v>
      </c>
      <c r="B6" s="2" t="s">
        <v>94</v>
      </c>
      <c r="C6" s="2" t="s">
        <v>94</v>
      </c>
      <c r="D6" s="2" t="s">
        <v>94</v>
      </c>
      <c r="E6" s="2" t="s">
        <v>89</v>
      </c>
      <c r="F6" s="37" t="s">
        <v>65</v>
      </c>
      <c r="G6" s="37" t="s">
        <v>90</v>
      </c>
      <c r="H6" s="37" t="s">
        <v>90</v>
      </c>
      <c r="I6" s="39">
        <v>0.1</v>
      </c>
      <c r="J6" s="2" t="s">
        <v>26</v>
      </c>
      <c r="K6" s="2" t="s">
        <v>32</v>
      </c>
      <c r="L6" s="2" t="s">
        <v>100</v>
      </c>
      <c r="M6" s="2" t="s">
        <v>29</v>
      </c>
      <c r="N6" s="2" t="s">
        <v>101</v>
      </c>
    </row>
    <row r="7" spans="1:14" ht="60" x14ac:dyDescent="0.25">
      <c r="A7" s="2" t="s">
        <v>35</v>
      </c>
      <c r="B7" s="2" t="s">
        <v>95</v>
      </c>
      <c r="C7" s="2" t="s">
        <v>95</v>
      </c>
      <c r="D7" s="2" t="s">
        <v>95</v>
      </c>
      <c r="E7" s="2" t="s">
        <v>89</v>
      </c>
      <c r="F7" s="37" t="s">
        <v>65</v>
      </c>
      <c r="G7" s="37" t="s">
        <v>90</v>
      </c>
      <c r="H7" s="37" t="s">
        <v>90</v>
      </c>
      <c r="I7" s="39">
        <v>0.1</v>
      </c>
      <c r="J7" s="2" t="s">
        <v>26</v>
      </c>
      <c r="K7" s="2" t="s">
        <v>32</v>
      </c>
      <c r="L7" s="2" t="s">
        <v>100</v>
      </c>
      <c r="M7" s="2" t="s">
        <v>29</v>
      </c>
      <c r="N7" s="2" t="s">
        <v>101</v>
      </c>
    </row>
    <row r="8" spans="1:14" ht="60" x14ac:dyDescent="0.25">
      <c r="A8" s="2" t="s">
        <v>35</v>
      </c>
      <c r="B8" s="2" t="s">
        <v>92</v>
      </c>
      <c r="C8" s="2" t="s">
        <v>92</v>
      </c>
      <c r="D8" s="2" t="s">
        <v>92</v>
      </c>
      <c r="E8" s="2" t="s">
        <v>89</v>
      </c>
      <c r="F8" s="37" t="s">
        <v>65</v>
      </c>
      <c r="G8" s="37" t="s">
        <v>90</v>
      </c>
      <c r="H8" s="37" t="s">
        <v>90</v>
      </c>
      <c r="I8" s="39">
        <v>0.1</v>
      </c>
      <c r="J8" s="2" t="s">
        <v>26</v>
      </c>
      <c r="K8" s="2" t="s">
        <v>32</v>
      </c>
      <c r="L8" s="2" t="s">
        <v>100</v>
      </c>
      <c r="M8" s="2" t="s">
        <v>29</v>
      </c>
      <c r="N8" s="2" t="s">
        <v>101</v>
      </c>
    </row>
    <row r="9" spans="1:14" ht="60" x14ac:dyDescent="0.25">
      <c r="A9" s="2" t="s">
        <v>35</v>
      </c>
      <c r="B9" s="2" t="s">
        <v>96</v>
      </c>
      <c r="C9" s="2" t="s">
        <v>96</v>
      </c>
      <c r="D9" s="2" t="s">
        <v>96</v>
      </c>
      <c r="E9" s="2" t="s">
        <v>89</v>
      </c>
      <c r="F9" s="37" t="s">
        <v>65</v>
      </c>
      <c r="G9" s="37" t="s">
        <v>90</v>
      </c>
      <c r="H9" s="37" t="s">
        <v>90</v>
      </c>
      <c r="I9" s="39">
        <v>0.1</v>
      </c>
      <c r="J9" s="2" t="s">
        <v>26</v>
      </c>
      <c r="K9" s="2" t="s">
        <v>32</v>
      </c>
      <c r="L9" s="2" t="s">
        <v>100</v>
      </c>
      <c r="M9" s="2" t="s">
        <v>29</v>
      </c>
      <c r="N9" s="2" t="s">
        <v>101</v>
      </c>
    </row>
    <row r="10" spans="1:14" ht="60" x14ac:dyDescent="0.25">
      <c r="A10" s="2" t="s">
        <v>35</v>
      </c>
      <c r="B10" s="2" t="s">
        <v>97</v>
      </c>
      <c r="C10" s="2" t="s">
        <v>97</v>
      </c>
      <c r="D10" s="2" t="s">
        <v>97</v>
      </c>
      <c r="E10" s="2" t="s">
        <v>89</v>
      </c>
      <c r="F10" s="37" t="s">
        <v>65</v>
      </c>
      <c r="G10" s="37" t="s">
        <v>90</v>
      </c>
      <c r="H10" s="37" t="s">
        <v>90</v>
      </c>
      <c r="I10" s="39">
        <v>0.1</v>
      </c>
      <c r="J10" s="2" t="s">
        <v>26</v>
      </c>
      <c r="K10" s="2" t="s">
        <v>32</v>
      </c>
      <c r="L10" s="2" t="s">
        <v>100</v>
      </c>
      <c r="M10" s="2" t="s">
        <v>29</v>
      </c>
      <c r="N10" s="2" t="s">
        <v>101</v>
      </c>
    </row>
    <row r="11" spans="1:14" ht="60" x14ac:dyDescent="0.25">
      <c r="A11" s="2" t="s">
        <v>35</v>
      </c>
      <c r="B11" s="2" t="s">
        <v>98</v>
      </c>
      <c r="C11" s="2" t="s">
        <v>98</v>
      </c>
      <c r="D11" s="2" t="s">
        <v>98</v>
      </c>
      <c r="E11" s="2" t="s">
        <v>89</v>
      </c>
      <c r="F11" s="37" t="s">
        <v>65</v>
      </c>
      <c r="G11" s="37" t="s">
        <v>90</v>
      </c>
      <c r="H11" s="37" t="s">
        <v>90</v>
      </c>
      <c r="I11" s="39">
        <v>0.1</v>
      </c>
      <c r="J11" s="2" t="s">
        <v>26</v>
      </c>
      <c r="K11" s="2" t="s">
        <v>32</v>
      </c>
      <c r="L11" s="2" t="s">
        <v>100</v>
      </c>
      <c r="M11" s="2" t="s">
        <v>29</v>
      </c>
      <c r="N11" s="2" t="s">
        <v>101</v>
      </c>
    </row>
    <row r="12" spans="1:14" ht="30" x14ac:dyDescent="0.25">
      <c r="A12" s="2" t="s">
        <v>35</v>
      </c>
      <c r="B12" s="2" t="s">
        <v>92</v>
      </c>
      <c r="C12" s="2" t="s">
        <v>92</v>
      </c>
      <c r="D12" s="2" t="s">
        <v>92</v>
      </c>
      <c r="E12" s="2" t="s">
        <v>89</v>
      </c>
      <c r="F12" s="37" t="s">
        <v>65</v>
      </c>
      <c r="G12" s="37" t="s">
        <v>90</v>
      </c>
      <c r="H12" s="37" t="s">
        <v>90</v>
      </c>
      <c r="I12" s="39">
        <v>0.1</v>
      </c>
      <c r="J12" s="2" t="s">
        <v>26</v>
      </c>
      <c r="K12" s="2" t="s">
        <v>32</v>
      </c>
      <c r="L12" s="2" t="s">
        <v>100</v>
      </c>
      <c r="M12" s="2" t="s">
        <v>29</v>
      </c>
      <c r="N12" s="2"/>
    </row>
    <row r="13" spans="1:14" x14ac:dyDescent="0.25">
      <c r="A13" s="2" t="s">
        <v>35</v>
      </c>
      <c r="B13" s="2" t="s">
        <v>94</v>
      </c>
      <c r="C13" s="2" t="s">
        <v>94</v>
      </c>
      <c r="D13" s="2" t="s">
        <v>158</v>
      </c>
      <c r="E13" s="2" t="s">
        <v>159</v>
      </c>
      <c r="F13" s="37">
        <v>46221</v>
      </c>
      <c r="G13" s="37">
        <v>46234</v>
      </c>
      <c r="H13" s="43">
        <f>NETWORKDAYS(F13,G13)</f>
        <v>10</v>
      </c>
      <c r="I13" s="39">
        <v>0.4</v>
      </c>
      <c r="J13" s="2" t="s">
        <v>26</v>
      </c>
      <c r="K13" s="2" t="s">
        <v>32</v>
      </c>
      <c r="L13" s="2"/>
      <c r="M13" s="2" t="s">
        <v>36</v>
      </c>
      <c r="N13" s="2"/>
    </row>
    <row r="14" spans="1:14" ht="16.899999999999999" customHeight="1" x14ac:dyDescent="0.25">
      <c r="A14" s="2" t="s">
        <v>35</v>
      </c>
      <c r="B14" s="2" t="s">
        <v>94</v>
      </c>
      <c r="C14" s="2" t="s">
        <v>94</v>
      </c>
      <c r="D14" s="2" t="s">
        <v>158</v>
      </c>
      <c r="E14" s="2" t="s">
        <v>163</v>
      </c>
      <c r="F14" s="37">
        <v>46221</v>
      </c>
      <c r="G14" s="37">
        <v>46234</v>
      </c>
      <c r="H14" s="43">
        <f>NETWORKDAYS(F14,G14)</f>
        <v>10</v>
      </c>
      <c r="I14" s="39">
        <v>0.4</v>
      </c>
      <c r="J14" s="2" t="s">
        <v>26</v>
      </c>
      <c r="K14" s="2" t="s">
        <v>32</v>
      </c>
      <c r="L14" s="2"/>
      <c r="M14" s="2" t="s">
        <v>36</v>
      </c>
      <c r="N14" s="2"/>
    </row>
    <row r="15" spans="1:14" x14ac:dyDescent="0.25">
      <c r="A15" s="2" t="s">
        <v>35</v>
      </c>
      <c r="B15" s="2" t="s">
        <v>92</v>
      </c>
      <c r="C15" s="2" t="s">
        <v>92</v>
      </c>
      <c r="D15" s="2" t="s">
        <v>92</v>
      </c>
      <c r="E15" s="2" t="s">
        <v>165</v>
      </c>
      <c r="F15" s="37">
        <v>46169</v>
      </c>
      <c r="G15" s="37">
        <v>46234</v>
      </c>
      <c r="H15" s="43">
        <f>NETWORKDAYS(F15,G15)</f>
        <v>48</v>
      </c>
      <c r="I15" s="39">
        <v>0.5</v>
      </c>
      <c r="J15" s="2" t="s">
        <v>26</v>
      </c>
      <c r="K15" s="2" t="s">
        <v>32</v>
      </c>
      <c r="L15" s="2"/>
      <c r="M15" s="2" t="s">
        <v>36</v>
      </c>
      <c r="N15" s="2"/>
    </row>
    <row r="16" spans="1:14" x14ac:dyDescent="0.25">
      <c r="A16" s="2" t="s">
        <v>35</v>
      </c>
      <c r="B16" s="2" t="s">
        <v>92</v>
      </c>
      <c r="C16" s="2" t="s">
        <v>92</v>
      </c>
      <c r="D16" s="2" t="s">
        <v>92</v>
      </c>
      <c r="E16" s="2" t="s">
        <v>166</v>
      </c>
      <c r="F16" s="37">
        <v>46221</v>
      </c>
      <c r="G16" s="37">
        <v>46234</v>
      </c>
      <c r="H16" s="43">
        <f t="shared" ref="H16" si="0">NETWORKDAYS(F16,G16)</f>
        <v>10</v>
      </c>
      <c r="I16" s="39">
        <v>0.5</v>
      </c>
      <c r="J16" s="2" t="s">
        <v>26</v>
      </c>
      <c r="K16" s="2" t="s">
        <v>32</v>
      </c>
      <c r="L16" s="2"/>
      <c r="M16" s="2" t="s">
        <v>36</v>
      </c>
      <c r="N16" s="2"/>
    </row>
    <row r="17" spans="1:14" ht="30" x14ac:dyDescent="0.25">
      <c r="A17" s="2" t="s">
        <v>38</v>
      </c>
      <c r="B17" s="2" t="s">
        <v>92</v>
      </c>
      <c r="C17" s="2" t="s">
        <v>92</v>
      </c>
      <c r="D17" s="2" t="s">
        <v>92</v>
      </c>
      <c r="E17" s="2" t="s">
        <v>168</v>
      </c>
      <c r="F17" s="37" t="s">
        <v>65</v>
      </c>
      <c r="G17" s="37" t="s">
        <v>65</v>
      </c>
      <c r="H17" s="55" t="s">
        <v>65</v>
      </c>
      <c r="I17" s="39">
        <v>0.1</v>
      </c>
      <c r="J17" s="2" t="s">
        <v>26</v>
      </c>
      <c r="K17" s="2" t="s">
        <v>32</v>
      </c>
      <c r="L17" s="2" t="s">
        <v>167</v>
      </c>
      <c r="M17" s="2" t="s">
        <v>29</v>
      </c>
      <c r="N17" s="2" t="s">
        <v>325</v>
      </c>
    </row>
    <row r="18" spans="1:14" x14ac:dyDescent="0.25">
      <c r="A18" s="2" t="s">
        <v>38</v>
      </c>
      <c r="B18" s="2" t="s">
        <v>92</v>
      </c>
      <c r="C18" s="2" t="s">
        <v>92</v>
      </c>
      <c r="D18" s="2" t="s">
        <v>92</v>
      </c>
      <c r="E18" s="2" t="s">
        <v>178</v>
      </c>
      <c r="F18" s="37" t="s">
        <v>65</v>
      </c>
      <c r="G18" s="37" t="s">
        <v>65</v>
      </c>
      <c r="H18" s="55" t="s">
        <v>65</v>
      </c>
      <c r="I18" s="2"/>
      <c r="J18" s="2" t="s">
        <v>26</v>
      </c>
      <c r="K18" s="2" t="s">
        <v>32</v>
      </c>
      <c r="L18" s="2"/>
      <c r="M18" s="2" t="s">
        <v>29</v>
      </c>
      <c r="N18" s="2"/>
    </row>
    <row r="19" spans="1:14" x14ac:dyDescent="0.25">
      <c r="A19" s="2" t="s">
        <v>35</v>
      </c>
      <c r="B19" s="2" t="s">
        <v>94</v>
      </c>
      <c r="C19" s="2" t="s">
        <v>169</v>
      </c>
      <c r="D19" s="2" t="s">
        <v>169</v>
      </c>
      <c r="E19" s="2" t="s">
        <v>179</v>
      </c>
      <c r="F19" s="37">
        <v>46049</v>
      </c>
      <c r="G19" s="37" t="s">
        <v>65</v>
      </c>
      <c r="H19" s="43" t="s">
        <v>65</v>
      </c>
      <c r="I19" s="39">
        <v>0.7</v>
      </c>
      <c r="J19" s="2" t="s">
        <v>26</v>
      </c>
      <c r="K19" s="2" t="s">
        <v>32</v>
      </c>
      <c r="L19" s="2"/>
      <c r="M19" s="2" t="s">
        <v>36</v>
      </c>
      <c r="N19" s="2" t="s">
        <v>180</v>
      </c>
    </row>
    <row r="20" spans="1:14" x14ac:dyDescent="0.25">
      <c r="A20" s="2" t="s">
        <v>35</v>
      </c>
      <c r="B20" s="2" t="s">
        <v>88</v>
      </c>
      <c r="C20" s="2" t="s">
        <v>88</v>
      </c>
      <c r="D20" s="2" t="s">
        <v>88</v>
      </c>
      <c r="E20" s="2" t="s">
        <v>170</v>
      </c>
      <c r="F20" s="37" t="s">
        <v>65</v>
      </c>
      <c r="G20" s="37" t="s">
        <v>65</v>
      </c>
      <c r="H20" s="43" t="s">
        <v>65</v>
      </c>
      <c r="I20" s="39">
        <v>0.1</v>
      </c>
      <c r="J20" s="2" t="s">
        <v>26</v>
      </c>
      <c r="K20" s="2" t="s">
        <v>32</v>
      </c>
      <c r="L20" s="2"/>
      <c r="M20" s="2" t="s">
        <v>36</v>
      </c>
      <c r="N20" s="2" t="s">
        <v>326</v>
      </c>
    </row>
    <row r="21" spans="1:14" x14ac:dyDescent="0.25">
      <c r="A21" s="2" t="s">
        <v>35</v>
      </c>
      <c r="B21" s="2" t="s">
        <v>88</v>
      </c>
      <c r="C21" s="2" t="s">
        <v>88</v>
      </c>
      <c r="D21" s="2" t="s">
        <v>88</v>
      </c>
      <c r="E21" s="2" t="s">
        <v>171</v>
      </c>
      <c r="F21" s="37" t="s">
        <v>65</v>
      </c>
      <c r="G21" s="37" t="s">
        <v>65</v>
      </c>
      <c r="H21" s="43" t="s">
        <v>65</v>
      </c>
      <c r="I21" s="39">
        <v>0.1</v>
      </c>
      <c r="J21" s="2" t="s">
        <v>26</v>
      </c>
      <c r="K21" s="2" t="s">
        <v>32</v>
      </c>
      <c r="L21" s="2"/>
      <c r="M21" s="2" t="s">
        <v>36</v>
      </c>
      <c r="N21" s="2" t="s">
        <v>326</v>
      </c>
    </row>
    <row r="22" spans="1:14" x14ac:dyDescent="0.25">
      <c r="A22" s="2" t="s">
        <v>35</v>
      </c>
      <c r="B22" s="2" t="s">
        <v>88</v>
      </c>
      <c r="C22" s="2" t="s">
        <v>88</v>
      </c>
      <c r="D22" s="2" t="s">
        <v>88</v>
      </c>
      <c r="E22" s="2" t="s">
        <v>172</v>
      </c>
      <c r="F22" s="37" t="s">
        <v>65</v>
      </c>
      <c r="G22" s="37" t="s">
        <v>65</v>
      </c>
      <c r="H22" s="43" t="s">
        <v>65</v>
      </c>
      <c r="I22" s="39">
        <v>0.1</v>
      </c>
      <c r="J22" s="2" t="s">
        <v>26</v>
      </c>
      <c r="K22" s="2" t="s">
        <v>32</v>
      </c>
      <c r="L22" s="2"/>
      <c r="M22" s="2" t="s">
        <v>29</v>
      </c>
      <c r="N22" s="2" t="s">
        <v>326</v>
      </c>
    </row>
    <row r="23" spans="1:14" x14ac:dyDescent="0.25">
      <c r="A23" s="2" t="s">
        <v>35</v>
      </c>
      <c r="B23" s="2" t="s">
        <v>88</v>
      </c>
      <c r="C23" s="2" t="s">
        <v>88</v>
      </c>
      <c r="D23" s="2" t="s">
        <v>88</v>
      </c>
      <c r="E23" s="2" t="s">
        <v>173</v>
      </c>
      <c r="F23" s="37" t="s">
        <v>65</v>
      </c>
      <c r="G23" s="37" t="s">
        <v>65</v>
      </c>
      <c r="H23" s="43" t="s">
        <v>65</v>
      </c>
      <c r="I23" s="39">
        <v>0.1</v>
      </c>
      <c r="J23" s="2" t="s">
        <v>26</v>
      </c>
      <c r="K23" s="2" t="s">
        <v>32</v>
      </c>
      <c r="L23" s="2"/>
      <c r="M23" s="2" t="s">
        <v>29</v>
      </c>
      <c r="N23" s="2" t="s">
        <v>326</v>
      </c>
    </row>
    <row r="24" spans="1:14" x14ac:dyDescent="0.25">
      <c r="A24" s="2" t="s">
        <v>35</v>
      </c>
      <c r="B24" s="2" t="s">
        <v>88</v>
      </c>
      <c r="C24" s="2" t="s">
        <v>88</v>
      </c>
      <c r="D24" s="2" t="s">
        <v>88</v>
      </c>
      <c r="E24" s="2" t="s">
        <v>174</v>
      </c>
      <c r="F24" s="37" t="s">
        <v>65</v>
      </c>
      <c r="G24" s="37" t="s">
        <v>65</v>
      </c>
      <c r="H24" s="43" t="s">
        <v>65</v>
      </c>
      <c r="I24" s="39">
        <v>0.1</v>
      </c>
      <c r="J24" s="2" t="s">
        <v>26</v>
      </c>
      <c r="K24" s="2" t="s">
        <v>32</v>
      </c>
      <c r="L24" s="2"/>
      <c r="M24" s="2" t="s">
        <v>29</v>
      </c>
      <c r="N24" s="2" t="s">
        <v>326</v>
      </c>
    </row>
    <row r="25" spans="1:14" x14ac:dyDescent="0.25">
      <c r="A25" s="2" t="s">
        <v>35</v>
      </c>
      <c r="B25" s="2" t="s">
        <v>88</v>
      </c>
      <c r="C25" s="2" t="s">
        <v>88</v>
      </c>
      <c r="D25" s="2" t="s">
        <v>88</v>
      </c>
      <c r="E25" s="2" t="s">
        <v>175</v>
      </c>
      <c r="F25" s="37" t="s">
        <v>65</v>
      </c>
      <c r="G25" s="37" t="s">
        <v>65</v>
      </c>
      <c r="H25" s="43" t="s">
        <v>65</v>
      </c>
      <c r="I25" s="39">
        <v>0.1</v>
      </c>
      <c r="J25" s="2" t="s">
        <v>26</v>
      </c>
      <c r="K25" s="2" t="s">
        <v>32</v>
      </c>
      <c r="L25" s="2"/>
      <c r="M25" s="2" t="s">
        <v>29</v>
      </c>
      <c r="N25" s="2" t="s">
        <v>326</v>
      </c>
    </row>
    <row r="26" spans="1:14" x14ac:dyDescent="0.25">
      <c r="A26" s="2" t="s">
        <v>35</v>
      </c>
      <c r="B26" s="2" t="s">
        <v>88</v>
      </c>
      <c r="C26" s="2" t="s">
        <v>88</v>
      </c>
      <c r="D26" s="2" t="s">
        <v>88</v>
      </c>
      <c r="E26" s="2" t="s">
        <v>176</v>
      </c>
      <c r="F26" s="37" t="s">
        <v>65</v>
      </c>
      <c r="G26" s="37" t="s">
        <v>65</v>
      </c>
      <c r="H26" s="43" t="s">
        <v>65</v>
      </c>
      <c r="I26" s="39">
        <v>0.1</v>
      </c>
      <c r="J26" s="2" t="s">
        <v>26</v>
      </c>
      <c r="K26" s="2" t="s">
        <v>32</v>
      </c>
      <c r="L26" s="2"/>
      <c r="M26" s="2" t="s">
        <v>29</v>
      </c>
      <c r="N26" s="2" t="s">
        <v>326</v>
      </c>
    </row>
    <row r="27" spans="1:14" x14ac:dyDescent="0.25">
      <c r="A27" s="2" t="s">
        <v>35</v>
      </c>
      <c r="B27" s="2" t="s">
        <v>88</v>
      </c>
      <c r="C27" s="2" t="s">
        <v>88</v>
      </c>
      <c r="D27" s="2" t="s">
        <v>88</v>
      </c>
      <c r="E27" s="2" t="s">
        <v>177</v>
      </c>
      <c r="F27" s="37" t="s">
        <v>65</v>
      </c>
      <c r="G27" s="37" t="s">
        <v>65</v>
      </c>
      <c r="H27" s="43" t="s">
        <v>65</v>
      </c>
      <c r="I27" s="39">
        <v>0.1</v>
      </c>
      <c r="J27" s="2" t="s">
        <v>26</v>
      </c>
      <c r="K27" s="2" t="s">
        <v>32</v>
      </c>
      <c r="L27" s="2"/>
      <c r="M27" s="2" t="s">
        <v>29</v>
      </c>
      <c r="N27" s="2" t="s">
        <v>326</v>
      </c>
    </row>
    <row r="28" spans="1:14" x14ac:dyDescent="0.25">
      <c r="A28" s="2"/>
      <c r="B28" s="2"/>
      <c r="C28" s="2"/>
      <c r="D28" s="2"/>
      <c r="E28" s="2"/>
      <c r="F28" s="37"/>
      <c r="G28" s="37"/>
      <c r="H28" s="43">
        <f t="shared" ref="H28:H65" si="1">NETWORKDAYS(F28,G28)</f>
        <v>0</v>
      </c>
      <c r="I28" s="2"/>
      <c r="J28" s="2"/>
      <c r="K28" s="2"/>
      <c r="L28" s="2"/>
      <c r="M28" s="2"/>
      <c r="N28" s="2"/>
    </row>
    <row r="29" spans="1:14" x14ac:dyDescent="0.25">
      <c r="A29" s="2"/>
      <c r="B29" s="2"/>
      <c r="C29" s="2"/>
      <c r="D29" s="2"/>
      <c r="E29" s="2"/>
      <c r="F29" s="37"/>
      <c r="G29" s="37"/>
      <c r="H29" s="43">
        <f t="shared" si="1"/>
        <v>0</v>
      </c>
      <c r="I29" s="2"/>
      <c r="J29" s="2"/>
      <c r="K29" s="2"/>
      <c r="L29" s="2"/>
      <c r="M29" s="2"/>
      <c r="N29" s="2"/>
    </row>
    <row r="30" spans="1:14" x14ac:dyDescent="0.25">
      <c r="A30" s="2"/>
      <c r="B30" s="2"/>
      <c r="C30" s="2"/>
      <c r="D30" s="2"/>
      <c r="E30" s="2"/>
      <c r="F30" s="37"/>
      <c r="G30" s="37"/>
      <c r="H30" s="43">
        <f t="shared" si="1"/>
        <v>0</v>
      </c>
      <c r="I30" s="2"/>
      <c r="J30" s="2"/>
      <c r="K30" s="2"/>
      <c r="L30" s="2"/>
      <c r="M30" s="2"/>
      <c r="N30" s="2"/>
    </row>
    <row r="31" spans="1:14" x14ac:dyDescent="0.25">
      <c r="A31" s="2"/>
      <c r="B31" s="2"/>
      <c r="C31" s="2"/>
      <c r="D31" s="2"/>
      <c r="E31" s="2"/>
      <c r="F31" s="37"/>
      <c r="G31" s="37"/>
      <c r="H31" s="43">
        <f t="shared" si="1"/>
        <v>0</v>
      </c>
      <c r="I31" s="2"/>
      <c r="J31" s="2"/>
      <c r="K31" s="2"/>
      <c r="L31" s="2"/>
      <c r="M31" s="2"/>
      <c r="N31" s="2"/>
    </row>
    <row r="32" spans="1:14" x14ac:dyDescent="0.25">
      <c r="A32" s="2"/>
      <c r="B32" s="2"/>
      <c r="C32" s="2"/>
      <c r="D32" s="2"/>
      <c r="E32" s="2"/>
      <c r="F32" s="37"/>
      <c r="G32" s="37"/>
      <c r="H32" s="43">
        <f t="shared" si="1"/>
        <v>0</v>
      </c>
      <c r="I32" s="2"/>
      <c r="J32" s="2"/>
      <c r="K32" s="2"/>
      <c r="L32" s="2"/>
      <c r="M32" s="2"/>
      <c r="N32" s="2"/>
    </row>
    <row r="33" spans="1:14" x14ac:dyDescent="0.25">
      <c r="A33" s="2"/>
      <c r="B33" s="2"/>
      <c r="C33" s="2"/>
      <c r="D33" s="2"/>
      <c r="E33" s="2"/>
      <c r="F33" s="37"/>
      <c r="G33" s="37"/>
      <c r="H33" s="43">
        <f t="shared" si="1"/>
        <v>0</v>
      </c>
      <c r="I33" s="2"/>
      <c r="J33" s="2"/>
      <c r="K33" s="2"/>
      <c r="L33" s="2"/>
      <c r="M33" s="2"/>
      <c r="N33" s="2"/>
    </row>
    <row r="34" spans="1:14" x14ac:dyDescent="0.25">
      <c r="A34" s="2"/>
      <c r="B34" s="2"/>
      <c r="C34" s="2"/>
      <c r="D34" s="2"/>
      <c r="E34" s="2"/>
      <c r="F34" s="37"/>
      <c r="G34" s="37"/>
      <c r="H34" s="43">
        <f t="shared" si="1"/>
        <v>0</v>
      </c>
      <c r="I34" s="2"/>
      <c r="J34" s="2"/>
      <c r="K34" s="2"/>
      <c r="L34" s="2"/>
      <c r="M34" s="2"/>
      <c r="N34" s="2"/>
    </row>
    <row r="35" spans="1:14" x14ac:dyDescent="0.25">
      <c r="A35" s="2"/>
      <c r="B35" s="2"/>
      <c r="C35" s="2"/>
      <c r="D35" s="2"/>
      <c r="E35" s="2"/>
      <c r="F35" s="37"/>
      <c r="G35" s="37"/>
      <c r="H35" s="43">
        <f t="shared" si="1"/>
        <v>0</v>
      </c>
      <c r="I35" s="2"/>
      <c r="J35" s="2"/>
      <c r="K35" s="2"/>
      <c r="L35" s="2"/>
      <c r="M35" s="2"/>
      <c r="N35" s="2"/>
    </row>
    <row r="36" spans="1:14" x14ac:dyDescent="0.25">
      <c r="A36" s="2"/>
      <c r="B36" s="2"/>
      <c r="C36" s="2"/>
      <c r="D36" s="2"/>
      <c r="E36" s="2"/>
      <c r="F36" s="37"/>
      <c r="G36" s="37"/>
      <c r="H36" s="43">
        <f t="shared" si="1"/>
        <v>0</v>
      </c>
      <c r="I36" s="2"/>
      <c r="J36" s="2"/>
      <c r="K36" s="2"/>
      <c r="L36" s="2"/>
      <c r="M36" s="2"/>
      <c r="N36" s="2"/>
    </row>
    <row r="37" spans="1:14" x14ac:dyDescent="0.25">
      <c r="A37" s="2"/>
      <c r="B37" s="2"/>
      <c r="C37" s="2"/>
      <c r="D37" s="2"/>
      <c r="E37" s="2"/>
      <c r="F37" s="37"/>
      <c r="G37" s="37"/>
      <c r="H37" s="43">
        <f t="shared" si="1"/>
        <v>0</v>
      </c>
      <c r="I37" s="2"/>
      <c r="J37" s="2"/>
      <c r="K37" s="2"/>
      <c r="L37" s="2"/>
      <c r="M37" s="2"/>
      <c r="N37" s="2"/>
    </row>
    <row r="38" spans="1:14" x14ac:dyDescent="0.25">
      <c r="A38" s="2"/>
      <c r="B38" s="2"/>
      <c r="C38" s="2"/>
      <c r="D38" s="2"/>
      <c r="E38" s="2"/>
      <c r="F38" s="37"/>
      <c r="G38" s="37"/>
      <c r="H38" s="43">
        <f t="shared" si="1"/>
        <v>0</v>
      </c>
      <c r="I38" s="2"/>
      <c r="J38" s="2"/>
      <c r="K38" s="2"/>
      <c r="L38" s="2"/>
      <c r="M38" s="2"/>
      <c r="N38" s="2"/>
    </row>
    <row r="39" spans="1:14" x14ac:dyDescent="0.25">
      <c r="A39" s="2"/>
      <c r="B39" s="2"/>
      <c r="C39" s="2"/>
      <c r="D39" s="2"/>
      <c r="E39" s="2"/>
      <c r="F39" s="37"/>
      <c r="G39" s="37"/>
      <c r="H39" s="43">
        <f t="shared" si="1"/>
        <v>0</v>
      </c>
      <c r="I39" s="2"/>
      <c r="J39" s="2"/>
      <c r="K39" s="2"/>
      <c r="L39" s="2"/>
      <c r="M39" s="2"/>
      <c r="N39" s="2"/>
    </row>
    <row r="40" spans="1:14" x14ac:dyDescent="0.25">
      <c r="A40" s="2"/>
      <c r="B40" s="2"/>
      <c r="C40" s="2"/>
      <c r="D40" s="2"/>
      <c r="E40" s="2"/>
      <c r="F40" s="37"/>
      <c r="G40" s="37"/>
      <c r="H40" s="43">
        <f t="shared" si="1"/>
        <v>0</v>
      </c>
      <c r="I40" s="2"/>
      <c r="J40" s="2"/>
      <c r="K40" s="2"/>
      <c r="L40" s="2"/>
      <c r="M40" s="2"/>
      <c r="N40" s="2"/>
    </row>
    <row r="41" spans="1:14" x14ac:dyDescent="0.25">
      <c r="A41" s="2"/>
      <c r="B41" s="2"/>
      <c r="C41" s="2"/>
      <c r="D41" s="2"/>
      <c r="E41" s="2"/>
      <c r="F41" s="37"/>
      <c r="G41" s="37"/>
      <c r="H41" s="43">
        <f t="shared" si="1"/>
        <v>0</v>
      </c>
      <c r="I41" s="2"/>
      <c r="J41" s="2"/>
      <c r="K41" s="2"/>
      <c r="L41" s="2"/>
      <c r="M41" s="2"/>
      <c r="N41" s="2"/>
    </row>
    <row r="42" spans="1:14" x14ac:dyDescent="0.25">
      <c r="A42" s="2"/>
      <c r="B42" s="2"/>
      <c r="C42" s="2"/>
      <c r="D42" s="2"/>
      <c r="E42" s="2"/>
      <c r="F42" s="37"/>
      <c r="G42" s="37"/>
      <c r="H42" s="43">
        <f t="shared" si="1"/>
        <v>0</v>
      </c>
      <c r="I42" s="2"/>
      <c r="J42" s="2"/>
      <c r="K42" s="2"/>
      <c r="L42" s="2"/>
      <c r="M42" s="2"/>
      <c r="N42" s="2"/>
    </row>
    <row r="43" spans="1:14" x14ac:dyDescent="0.25">
      <c r="A43" s="2"/>
      <c r="B43" s="2"/>
      <c r="C43" s="2"/>
      <c r="D43" s="2"/>
      <c r="E43" s="2"/>
      <c r="F43" s="37"/>
      <c r="G43" s="37"/>
      <c r="H43" s="43">
        <f t="shared" si="1"/>
        <v>0</v>
      </c>
      <c r="I43" s="2"/>
      <c r="J43" s="2"/>
      <c r="K43" s="2"/>
      <c r="L43" s="2"/>
      <c r="M43" s="2"/>
      <c r="N43" s="2"/>
    </row>
    <row r="44" spans="1:14" x14ac:dyDescent="0.25">
      <c r="A44" s="2"/>
      <c r="B44" s="2"/>
      <c r="C44" s="2"/>
      <c r="D44" s="2"/>
      <c r="E44" s="2"/>
      <c r="F44" s="37"/>
      <c r="G44" s="37"/>
      <c r="H44" s="43">
        <f t="shared" si="1"/>
        <v>0</v>
      </c>
      <c r="I44" s="2"/>
      <c r="J44" s="2"/>
      <c r="K44" s="2"/>
      <c r="L44" s="2"/>
      <c r="M44" s="2"/>
      <c r="N44" s="2"/>
    </row>
    <row r="45" spans="1:14" x14ac:dyDescent="0.25">
      <c r="A45" s="2"/>
      <c r="B45" s="2"/>
      <c r="C45" s="2"/>
      <c r="D45" s="2"/>
      <c r="E45" s="2"/>
      <c r="F45" s="37"/>
      <c r="G45" s="37"/>
      <c r="H45" s="43">
        <f t="shared" si="1"/>
        <v>0</v>
      </c>
      <c r="I45" s="2"/>
      <c r="J45" s="2"/>
      <c r="K45" s="2"/>
      <c r="L45" s="2"/>
      <c r="M45" s="2"/>
      <c r="N45" s="2"/>
    </row>
    <row r="46" spans="1:14" x14ac:dyDescent="0.25">
      <c r="A46" s="2"/>
      <c r="B46" s="2"/>
      <c r="C46" s="2"/>
      <c r="D46" s="2"/>
      <c r="E46" s="2"/>
      <c r="F46" s="37"/>
      <c r="G46" s="37"/>
      <c r="H46" s="43">
        <f t="shared" si="1"/>
        <v>0</v>
      </c>
      <c r="I46" s="2"/>
      <c r="J46" s="2"/>
      <c r="K46" s="2"/>
      <c r="L46" s="2"/>
      <c r="M46" s="2"/>
      <c r="N46" s="2"/>
    </row>
    <row r="47" spans="1:14" x14ac:dyDescent="0.25">
      <c r="A47" s="2"/>
      <c r="B47" s="2"/>
      <c r="C47" s="2"/>
      <c r="D47" s="2"/>
      <c r="E47" s="2"/>
      <c r="F47" s="37"/>
      <c r="G47" s="37"/>
      <c r="H47" s="43">
        <f t="shared" si="1"/>
        <v>0</v>
      </c>
      <c r="I47" s="2"/>
      <c r="J47" s="2"/>
      <c r="K47" s="2"/>
      <c r="L47" s="2"/>
      <c r="M47" s="2"/>
      <c r="N47" s="2"/>
    </row>
    <row r="48" spans="1:14" x14ac:dyDescent="0.25">
      <c r="A48" s="2"/>
      <c r="B48" s="2"/>
      <c r="C48" s="2"/>
      <c r="D48" s="2"/>
      <c r="E48" s="2"/>
      <c r="F48" s="37"/>
      <c r="G48" s="37"/>
      <c r="H48" s="43">
        <f t="shared" si="1"/>
        <v>0</v>
      </c>
      <c r="I48" s="2"/>
      <c r="J48" s="2"/>
      <c r="K48" s="2"/>
      <c r="L48" s="2"/>
      <c r="M48" s="2"/>
      <c r="N48" s="2"/>
    </row>
    <row r="49" spans="1:14" x14ac:dyDescent="0.25">
      <c r="A49" s="2"/>
      <c r="B49" s="2"/>
      <c r="C49" s="2"/>
      <c r="D49" s="2"/>
      <c r="E49" s="2"/>
      <c r="F49" s="37"/>
      <c r="G49" s="37"/>
      <c r="H49" s="43">
        <f t="shared" si="1"/>
        <v>0</v>
      </c>
      <c r="I49" s="2"/>
      <c r="J49" s="2"/>
      <c r="K49" s="2"/>
      <c r="L49" s="2"/>
      <c r="M49" s="2"/>
      <c r="N49" s="2"/>
    </row>
    <row r="50" spans="1:14" x14ac:dyDescent="0.25">
      <c r="A50" s="2"/>
      <c r="B50" s="2"/>
      <c r="C50" s="2"/>
      <c r="D50" s="2"/>
      <c r="E50" s="2"/>
      <c r="F50" s="37"/>
      <c r="G50" s="37"/>
      <c r="H50" s="43">
        <f t="shared" si="1"/>
        <v>0</v>
      </c>
      <c r="I50" s="2"/>
      <c r="J50" s="2"/>
      <c r="K50" s="2"/>
      <c r="L50" s="2"/>
      <c r="M50" s="2"/>
      <c r="N50" s="2"/>
    </row>
    <row r="51" spans="1:14" x14ac:dyDescent="0.25">
      <c r="A51" s="2"/>
      <c r="B51" s="2"/>
      <c r="C51" s="2"/>
      <c r="D51" s="2"/>
      <c r="E51" s="2"/>
      <c r="F51" s="37"/>
      <c r="G51" s="37"/>
      <c r="H51" s="43">
        <f t="shared" si="1"/>
        <v>0</v>
      </c>
      <c r="I51" s="2"/>
      <c r="J51" s="2"/>
      <c r="K51" s="2"/>
      <c r="L51" s="2"/>
      <c r="M51" s="2"/>
      <c r="N51" s="2"/>
    </row>
    <row r="52" spans="1:14" x14ac:dyDescent="0.25">
      <c r="A52" s="2"/>
      <c r="B52" s="2"/>
      <c r="C52" s="2"/>
      <c r="D52" s="2"/>
      <c r="E52" s="2"/>
      <c r="F52" s="37"/>
      <c r="G52" s="37"/>
      <c r="H52" s="43">
        <f t="shared" si="1"/>
        <v>0</v>
      </c>
      <c r="I52" s="2"/>
      <c r="J52" s="2"/>
      <c r="K52" s="2"/>
      <c r="L52" s="2"/>
      <c r="M52" s="2"/>
      <c r="N52" s="2"/>
    </row>
    <row r="53" spans="1:14" x14ac:dyDescent="0.25">
      <c r="A53" s="2"/>
      <c r="B53" s="2"/>
      <c r="C53" s="2"/>
      <c r="D53" s="2"/>
      <c r="E53" s="2"/>
      <c r="F53" s="37"/>
      <c r="G53" s="37"/>
      <c r="H53" s="43">
        <f t="shared" si="1"/>
        <v>0</v>
      </c>
      <c r="I53" s="2"/>
      <c r="J53" s="2"/>
      <c r="K53" s="2"/>
      <c r="L53" s="2"/>
      <c r="M53" s="2"/>
      <c r="N53" s="2"/>
    </row>
    <row r="54" spans="1:14" x14ac:dyDescent="0.25">
      <c r="A54" s="2"/>
      <c r="B54" s="2"/>
      <c r="C54" s="2"/>
      <c r="D54" s="2"/>
      <c r="E54" s="2"/>
      <c r="F54" s="37"/>
      <c r="G54" s="37"/>
      <c r="H54" s="43">
        <f t="shared" si="1"/>
        <v>0</v>
      </c>
      <c r="I54" s="2"/>
      <c r="J54" s="2"/>
      <c r="K54" s="2"/>
      <c r="L54" s="2"/>
      <c r="M54" s="2"/>
      <c r="N54" s="2"/>
    </row>
    <row r="55" spans="1:14" x14ac:dyDescent="0.25">
      <c r="A55" s="2"/>
      <c r="B55" s="2"/>
      <c r="C55" s="2"/>
      <c r="D55" s="2"/>
      <c r="E55" s="2"/>
      <c r="F55" s="37"/>
      <c r="G55" s="37"/>
      <c r="H55" s="43">
        <f t="shared" si="1"/>
        <v>0</v>
      </c>
      <c r="I55" s="2"/>
      <c r="J55" s="2"/>
      <c r="K55" s="2"/>
      <c r="L55" s="2"/>
      <c r="M55" s="2"/>
      <c r="N55" s="2"/>
    </row>
    <row r="56" spans="1:14" x14ac:dyDescent="0.25">
      <c r="A56" s="2"/>
      <c r="B56" s="2"/>
      <c r="C56" s="2"/>
      <c r="D56" s="2"/>
      <c r="E56" s="2"/>
      <c r="F56" s="37"/>
      <c r="G56" s="37"/>
      <c r="H56" s="43">
        <f t="shared" si="1"/>
        <v>0</v>
      </c>
      <c r="I56" s="2"/>
      <c r="J56" s="2"/>
      <c r="K56" s="2"/>
      <c r="L56" s="2"/>
      <c r="M56" s="2"/>
      <c r="N56" s="2"/>
    </row>
    <row r="57" spans="1:14" x14ac:dyDescent="0.25">
      <c r="A57" s="2"/>
      <c r="B57" s="2"/>
      <c r="C57" s="2"/>
      <c r="D57" s="2"/>
      <c r="E57" s="2"/>
      <c r="F57" s="37"/>
      <c r="G57" s="37"/>
      <c r="H57" s="43">
        <f t="shared" si="1"/>
        <v>0</v>
      </c>
      <c r="I57" s="2"/>
      <c r="J57" s="2"/>
      <c r="K57" s="2"/>
      <c r="L57" s="2"/>
      <c r="M57" s="2"/>
      <c r="N57" s="2"/>
    </row>
    <row r="58" spans="1:14" x14ac:dyDescent="0.25">
      <c r="A58" s="2"/>
      <c r="B58" s="2"/>
      <c r="C58" s="2"/>
      <c r="D58" s="2"/>
      <c r="E58" s="2"/>
      <c r="F58" s="37"/>
      <c r="G58" s="37"/>
      <c r="H58" s="43">
        <f t="shared" si="1"/>
        <v>0</v>
      </c>
      <c r="I58" s="2"/>
      <c r="J58" s="2"/>
      <c r="K58" s="2"/>
      <c r="L58" s="2"/>
      <c r="M58" s="2"/>
      <c r="N58" s="2"/>
    </row>
    <row r="59" spans="1:14" x14ac:dyDescent="0.25">
      <c r="A59" s="2"/>
      <c r="B59" s="2"/>
      <c r="C59" s="2"/>
      <c r="D59" s="2"/>
      <c r="E59" s="2"/>
      <c r="F59" s="37"/>
      <c r="G59" s="37"/>
      <c r="H59" s="43">
        <f t="shared" si="1"/>
        <v>0</v>
      </c>
      <c r="I59" s="2"/>
      <c r="J59" s="2"/>
      <c r="K59" s="2"/>
      <c r="L59" s="2"/>
      <c r="M59" s="2"/>
      <c r="N59" s="2"/>
    </row>
    <row r="60" spans="1:14" x14ac:dyDescent="0.25">
      <c r="A60" s="2"/>
      <c r="B60" s="2"/>
      <c r="C60" s="2"/>
      <c r="D60" s="2"/>
      <c r="E60" s="2"/>
      <c r="F60" s="37"/>
      <c r="G60" s="37"/>
      <c r="H60" s="43">
        <f t="shared" si="1"/>
        <v>0</v>
      </c>
      <c r="I60" s="2"/>
      <c r="J60" s="2"/>
      <c r="K60" s="2"/>
      <c r="L60" s="2"/>
      <c r="M60" s="2"/>
      <c r="N60" s="2"/>
    </row>
    <row r="61" spans="1:14" x14ac:dyDescent="0.25">
      <c r="A61" s="2"/>
      <c r="B61" s="2"/>
      <c r="C61" s="2"/>
      <c r="D61" s="2"/>
      <c r="E61" s="2"/>
      <c r="F61" s="37"/>
      <c r="G61" s="37"/>
      <c r="H61" s="43">
        <f t="shared" si="1"/>
        <v>0</v>
      </c>
      <c r="I61" s="2"/>
      <c r="J61" s="2"/>
      <c r="K61" s="2"/>
      <c r="L61" s="2"/>
      <c r="M61" s="2"/>
      <c r="N61" s="2"/>
    </row>
    <row r="62" spans="1:14" x14ac:dyDescent="0.25">
      <c r="A62" s="2"/>
      <c r="B62" s="2"/>
      <c r="C62" s="2"/>
      <c r="D62" s="2"/>
      <c r="E62" s="2"/>
      <c r="F62" s="37"/>
      <c r="G62" s="37"/>
      <c r="H62" s="43">
        <f t="shared" si="1"/>
        <v>0</v>
      </c>
      <c r="I62" s="2"/>
      <c r="J62" s="2"/>
      <c r="K62" s="2"/>
      <c r="L62" s="2"/>
      <c r="M62" s="2"/>
      <c r="N62" s="2"/>
    </row>
    <row r="63" spans="1:14" x14ac:dyDescent="0.25">
      <c r="A63" s="2"/>
      <c r="B63" s="2"/>
      <c r="C63" s="2"/>
      <c r="D63" s="2"/>
      <c r="E63" s="2"/>
      <c r="F63" s="37"/>
      <c r="G63" s="37"/>
      <c r="H63" s="43">
        <f t="shared" si="1"/>
        <v>0</v>
      </c>
      <c r="I63" s="2"/>
      <c r="J63" s="2"/>
      <c r="K63" s="2"/>
      <c r="L63" s="2"/>
      <c r="M63" s="2"/>
      <c r="N63" s="2"/>
    </row>
    <row r="64" spans="1:14" x14ac:dyDescent="0.25">
      <c r="A64" s="2"/>
      <c r="B64" s="2"/>
      <c r="C64" s="2"/>
      <c r="D64" s="2"/>
      <c r="E64" s="2"/>
      <c r="F64" s="37"/>
      <c r="G64" s="37"/>
      <c r="H64" s="43">
        <f t="shared" si="1"/>
        <v>0</v>
      </c>
      <c r="I64" s="2"/>
      <c r="J64" s="2"/>
      <c r="K64" s="2"/>
      <c r="L64" s="2"/>
      <c r="M64" s="2"/>
      <c r="N64" s="2"/>
    </row>
    <row r="65" spans="1:14" x14ac:dyDescent="0.25">
      <c r="A65" s="2"/>
      <c r="B65" s="2"/>
      <c r="C65" s="2"/>
      <c r="D65" s="2"/>
      <c r="E65" s="2"/>
      <c r="F65" s="37"/>
      <c r="G65" s="37"/>
      <c r="H65" s="43">
        <f t="shared" si="1"/>
        <v>0</v>
      </c>
      <c r="I65" s="2"/>
      <c r="J65" s="2"/>
      <c r="K65" s="2"/>
      <c r="L65" s="2"/>
      <c r="M65" s="2"/>
      <c r="N65" s="2"/>
    </row>
    <row r="66" spans="1:14" x14ac:dyDescent="0.25">
      <c r="A66" s="2"/>
      <c r="B66" s="2"/>
      <c r="C66" s="2"/>
      <c r="D66" s="2"/>
      <c r="E66" s="2"/>
      <c r="F66" s="37"/>
      <c r="G66" s="37"/>
      <c r="H66" s="43">
        <f t="shared" ref="H66:H129" si="2">NETWORKDAYS(F66,G66)</f>
        <v>0</v>
      </c>
      <c r="I66" s="2"/>
      <c r="J66" s="2"/>
      <c r="K66" s="2"/>
      <c r="L66" s="2"/>
      <c r="M66" s="2"/>
      <c r="N66" s="2"/>
    </row>
    <row r="67" spans="1:14" x14ac:dyDescent="0.25">
      <c r="A67" s="2"/>
      <c r="B67" s="2"/>
      <c r="C67" s="2"/>
      <c r="D67" s="2"/>
      <c r="E67" s="2"/>
      <c r="F67" s="37"/>
      <c r="G67" s="37"/>
      <c r="H67" s="43">
        <f t="shared" si="2"/>
        <v>0</v>
      </c>
      <c r="I67" s="2"/>
      <c r="J67" s="2"/>
      <c r="K67" s="2"/>
      <c r="L67" s="2"/>
      <c r="M67" s="2"/>
      <c r="N67" s="2"/>
    </row>
    <row r="68" spans="1:14" x14ac:dyDescent="0.25">
      <c r="A68" s="2"/>
      <c r="B68" s="2"/>
      <c r="C68" s="2"/>
      <c r="D68" s="2"/>
      <c r="E68" s="2"/>
      <c r="F68" s="37"/>
      <c r="G68" s="37"/>
      <c r="H68" s="43">
        <f t="shared" si="2"/>
        <v>0</v>
      </c>
      <c r="I68" s="2"/>
      <c r="J68" s="2"/>
      <c r="K68" s="2"/>
      <c r="L68" s="2"/>
      <c r="M68" s="2"/>
      <c r="N68" s="2"/>
    </row>
    <row r="69" spans="1:14" x14ac:dyDescent="0.25">
      <c r="A69" s="2"/>
      <c r="B69" s="2"/>
      <c r="C69" s="2"/>
      <c r="D69" s="2"/>
      <c r="E69" s="2"/>
      <c r="F69" s="37"/>
      <c r="G69" s="37"/>
      <c r="H69" s="43">
        <f t="shared" si="2"/>
        <v>0</v>
      </c>
      <c r="I69" s="2"/>
      <c r="J69" s="2"/>
      <c r="K69" s="2"/>
      <c r="L69" s="2"/>
      <c r="M69" s="2"/>
      <c r="N69" s="2"/>
    </row>
    <row r="70" spans="1:14" x14ac:dyDescent="0.25">
      <c r="A70" s="2"/>
      <c r="B70" s="2"/>
      <c r="C70" s="2"/>
      <c r="D70" s="2"/>
      <c r="E70" s="2"/>
      <c r="F70" s="37"/>
      <c r="G70" s="37"/>
      <c r="H70" s="43">
        <f t="shared" si="2"/>
        <v>0</v>
      </c>
      <c r="I70" s="2"/>
      <c r="J70" s="2"/>
      <c r="K70" s="2"/>
      <c r="L70" s="2"/>
      <c r="M70" s="2"/>
      <c r="N70" s="2"/>
    </row>
    <row r="71" spans="1:14" x14ac:dyDescent="0.25">
      <c r="A71" s="2"/>
      <c r="B71" s="2"/>
      <c r="C71" s="2"/>
      <c r="D71" s="2"/>
      <c r="E71" s="2"/>
      <c r="F71" s="37"/>
      <c r="G71" s="37"/>
      <c r="H71" s="43">
        <f t="shared" si="2"/>
        <v>0</v>
      </c>
      <c r="I71" s="2"/>
      <c r="J71" s="2"/>
      <c r="K71" s="2"/>
      <c r="L71" s="2"/>
      <c r="M71" s="2"/>
      <c r="N71" s="2"/>
    </row>
    <row r="72" spans="1:14" x14ac:dyDescent="0.25">
      <c r="A72" s="2"/>
      <c r="B72" s="2"/>
      <c r="C72" s="2"/>
      <c r="D72" s="2"/>
      <c r="E72" s="2"/>
      <c r="F72" s="37"/>
      <c r="G72" s="37"/>
      <c r="H72" s="43">
        <f t="shared" si="2"/>
        <v>0</v>
      </c>
      <c r="I72" s="2"/>
      <c r="J72" s="2"/>
      <c r="K72" s="2"/>
      <c r="L72" s="2"/>
      <c r="M72" s="2"/>
      <c r="N72" s="2"/>
    </row>
    <row r="73" spans="1:14" x14ac:dyDescent="0.25">
      <c r="A73" s="2"/>
      <c r="B73" s="2"/>
      <c r="C73" s="2"/>
      <c r="D73" s="2"/>
      <c r="E73" s="2"/>
      <c r="F73" s="37"/>
      <c r="G73" s="37"/>
      <c r="H73" s="43">
        <f t="shared" si="2"/>
        <v>0</v>
      </c>
      <c r="I73" s="2"/>
      <c r="J73" s="2"/>
      <c r="K73" s="2"/>
      <c r="L73" s="2"/>
      <c r="M73" s="2"/>
      <c r="N73" s="2"/>
    </row>
    <row r="74" spans="1:14" x14ac:dyDescent="0.25">
      <c r="A74" s="2"/>
      <c r="B74" s="2"/>
      <c r="C74" s="2"/>
      <c r="D74" s="2"/>
      <c r="E74" s="2"/>
      <c r="F74" s="37"/>
      <c r="G74" s="37"/>
      <c r="H74" s="43">
        <f t="shared" si="2"/>
        <v>0</v>
      </c>
      <c r="I74" s="2"/>
      <c r="J74" s="2"/>
      <c r="K74" s="2"/>
      <c r="L74" s="2"/>
      <c r="M74" s="2"/>
      <c r="N74" s="2"/>
    </row>
    <row r="75" spans="1:14" x14ac:dyDescent="0.25">
      <c r="A75" s="2"/>
      <c r="B75" s="2"/>
      <c r="C75" s="2"/>
      <c r="D75" s="2"/>
      <c r="E75" s="2"/>
      <c r="F75" s="37"/>
      <c r="G75" s="37"/>
      <c r="H75" s="43">
        <f t="shared" si="2"/>
        <v>0</v>
      </c>
      <c r="I75" s="2"/>
      <c r="J75" s="2"/>
      <c r="K75" s="2"/>
      <c r="L75" s="2"/>
      <c r="M75" s="2"/>
      <c r="N75" s="2"/>
    </row>
    <row r="76" spans="1:14" x14ac:dyDescent="0.25">
      <c r="A76" s="2"/>
      <c r="B76" s="2"/>
      <c r="C76" s="2"/>
      <c r="D76" s="2"/>
      <c r="E76" s="2"/>
      <c r="F76" s="37"/>
      <c r="G76" s="37"/>
      <c r="H76" s="43">
        <f t="shared" si="2"/>
        <v>0</v>
      </c>
      <c r="I76" s="2"/>
      <c r="J76" s="2"/>
      <c r="K76" s="2"/>
      <c r="L76" s="2"/>
      <c r="M76" s="2"/>
      <c r="N76" s="2"/>
    </row>
    <row r="77" spans="1:14" x14ac:dyDescent="0.25">
      <c r="A77" s="2"/>
      <c r="B77" s="2"/>
      <c r="C77" s="2"/>
      <c r="D77" s="2"/>
      <c r="E77" s="2"/>
      <c r="F77" s="37"/>
      <c r="G77" s="37"/>
      <c r="H77" s="43">
        <f t="shared" si="2"/>
        <v>0</v>
      </c>
      <c r="I77" s="2"/>
      <c r="J77" s="2"/>
      <c r="K77" s="2"/>
      <c r="L77" s="2"/>
      <c r="M77" s="2"/>
      <c r="N77" s="2"/>
    </row>
    <row r="78" spans="1:14" x14ac:dyDescent="0.25">
      <c r="A78" s="2"/>
      <c r="B78" s="2"/>
      <c r="C78" s="2"/>
      <c r="D78" s="2"/>
      <c r="E78" s="2"/>
      <c r="F78" s="37"/>
      <c r="G78" s="37"/>
      <c r="H78" s="43">
        <f t="shared" si="2"/>
        <v>0</v>
      </c>
      <c r="I78" s="2"/>
      <c r="J78" s="2"/>
      <c r="K78" s="2"/>
      <c r="L78" s="2"/>
      <c r="M78" s="2"/>
      <c r="N78" s="2"/>
    </row>
    <row r="79" spans="1:14" x14ac:dyDescent="0.25">
      <c r="A79" s="2"/>
      <c r="B79" s="2"/>
      <c r="C79" s="2"/>
      <c r="D79" s="2"/>
      <c r="E79" s="2"/>
      <c r="F79" s="37"/>
      <c r="G79" s="37"/>
      <c r="H79" s="43">
        <f t="shared" si="2"/>
        <v>0</v>
      </c>
      <c r="I79" s="2"/>
      <c r="J79" s="2"/>
      <c r="K79" s="2"/>
      <c r="L79" s="2"/>
      <c r="M79" s="2"/>
      <c r="N79" s="2"/>
    </row>
    <row r="80" spans="1:14" x14ac:dyDescent="0.25">
      <c r="A80" s="2"/>
      <c r="B80" s="2"/>
      <c r="C80" s="2"/>
      <c r="D80" s="2"/>
      <c r="E80" s="2"/>
      <c r="F80" s="37"/>
      <c r="G80" s="37"/>
      <c r="H80" s="43">
        <f t="shared" si="2"/>
        <v>0</v>
      </c>
      <c r="I80" s="2"/>
      <c r="J80" s="2"/>
      <c r="K80" s="2"/>
      <c r="L80" s="2"/>
      <c r="M80" s="2"/>
      <c r="N80" s="2"/>
    </row>
    <row r="81" spans="1:14" x14ac:dyDescent="0.25">
      <c r="A81" s="2"/>
      <c r="B81" s="2"/>
      <c r="C81" s="2"/>
      <c r="D81" s="2"/>
      <c r="E81" s="2"/>
      <c r="F81" s="37"/>
      <c r="G81" s="37"/>
      <c r="H81" s="43">
        <f t="shared" si="2"/>
        <v>0</v>
      </c>
      <c r="I81" s="2"/>
      <c r="J81" s="2"/>
      <c r="K81" s="2"/>
      <c r="L81" s="2"/>
      <c r="M81" s="2"/>
      <c r="N81" s="2"/>
    </row>
    <row r="82" spans="1:14" x14ac:dyDescent="0.25">
      <c r="A82" s="2"/>
      <c r="B82" s="2"/>
      <c r="C82" s="2"/>
      <c r="D82" s="2"/>
      <c r="E82" s="2"/>
      <c r="F82" s="37"/>
      <c r="G82" s="37"/>
      <c r="H82" s="43">
        <f t="shared" si="2"/>
        <v>0</v>
      </c>
      <c r="I82" s="2"/>
      <c r="J82" s="2"/>
      <c r="K82" s="2"/>
      <c r="L82" s="2"/>
      <c r="M82" s="2"/>
      <c r="N82" s="2"/>
    </row>
    <row r="83" spans="1:14" x14ac:dyDescent="0.25">
      <c r="A83" s="2"/>
      <c r="B83" s="2"/>
      <c r="C83" s="2"/>
      <c r="D83" s="2"/>
      <c r="E83" s="2"/>
      <c r="F83" s="37"/>
      <c r="G83" s="37"/>
      <c r="H83" s="43">
        <f t="shared" si="2"/>
        <v>0</v>
      </c>
      <c r="I83" s="2"/>
      <c r="J83" s="2"/>
      <c r="K83" s="2"/>
      <c r="L83" s="2"/>
      <c r="M83" s="2"/>
      <c r="N83" s="2"/>
    </row>
    <row r="84" spans="1:14" x14ac:dyDescent="0.25">
      <c r="A84" s="2"/>
      <c r="B84" s="2"/>
      <c r="C84" s="2"/>
      <c r="D84" s="2"/>
      <c r="E84" s="2"/>
      <c r="F84" s="37"/>
      <c r="G84" s="37"/>
      <c r="H84" s="43">
        <f t="shared" si="2"/>
        <v>0</v>
      </c>
      <c r="I84" s="2"/>
      <c r="J84" s="2"/>
      <c r="K84" s="2"/>
      <c r="L84" s="2"/>
      <c r="M84" s="2"/>
      <c r="N84" s="2"/>
    </row>
    <row r="85" spans="1:14" x14ac:dyDescent="0.25">
      <c r="A85" s="2"/>
      <c r="B85" s="2"/>
      <c r="C85" s="2"/>
      <c r="D85" s="2"/>
      <c r="E85" s="2"/>
      <c r="F85" s="37"/>
      <c r="G85" s="37"/>
      <c r="H85" s="43">
        <f t="shared" si="2"/>
        <v>0</v>
      </c>
      <c r="I85" s="2"/>
      <c r="J85" s="2"/>
      <c r="K85" s="2"/>
      <c r="L85" s="2"/>
      <c r="M85" s="2"/>
      <c r="N85" s="2"/>
    </row>
    <row r="86" spans="1:14" x14ac:dyDescent="0.25">
      <c r="A86" s="2"/>
      <c r="B86" s="2"/>
      <c r="C86" s="2"/>
      <c r="D86" s="2"/>
      <c r="E86" s="2"/>
      <c r="F86" s="37"/>
      <c r="G86" s="37"/>
      <c r="H86" s="43">
        <f t="shared" si="2"/>
        <v>0</v>
      </c>
      <c r="I86" s="2"/>
      <c r="J86" s="2"/>
      <c r="K86" s="2"/>
      <c r="L86" s="2"/>
      <c r="M86" s="2"/>
      <c r="N86" s="2"/>
    </row>
    <row r="87" spans="1:14" x14ac:dyDescent="0.25">
      <c r="A87" s="2"/>
      <c r="B87" s="2"/>
      <c r="C87" s="2"/>
      <c r="D87" s="2"/>
      <c r="E87" s="2"/>
      <c r="F87" s="37"/>
      <c r="G87" s="37"/>
      <c r="H87" s="43">
        <f t="shared" si="2"/>
        <v>0</v>
      </c>
      <c r="I87" s="2"/>
      <c r="J87" s="2"/>
      <c r="K87" s="2"/>
      <c r="L87" s="2"/>
      <c r="M87" s="2"/>
      <c r="N87" s="2"/>
    </row>
    <row r="88" spans="1:14" x14ac:dyDescent="0.25">
      <c r="A88" s="2"/>
      <c r="B88" s="2"/>
      <c r="C88" s="2"/>
      <c r="D88" s="2"/>
      <c r="E88" s="2"/>
      <c r="F88" s="37"/>
      <c r="G88" s="37"/>
      <c r="H88" s="43">
        <f t="shared" si="2"/>
        <v>0</v>
      </c>
      <c r="I88" s="2"/>
      <c r="J88" s="2"/>
      <c r="K88" s="2"/>
      <c r="L88" s="2"/>
      <c r="M88" s="2"/>
      <c r="N88" s="2"/>
    </row>
    <row r="89" spans="1:14" x14ac:dyDescent="0.25">
      <c r="A89" s="2"/>
      <c r="B89" s="2"/>
      <c r="C89" s="2"/>
      <c r="D89" s="2"/>
      <c r="E89" s="2"/>
      <c r="F89" s="37"/>
      <c r="G89" s="37"/>
      <c r="H89" s="43">
        <f t="shared" si="2"/>
        <v>0</v>
      </c>
      <c r="I89" s="2"/>
      <c r="J89" s="2"/>
      <c r="K89" s="2"/>
      <c r="L89" s="2"/>
      <c r="M89" s="2"/>
      <c r="N89" s="2"/>
    </row>
    <row r="90" spans="1:14" x14ac:dyDescent="0.25">
      <c r="A90" s="2"/>
      <c r="B90" s="2"/>
      <c r="C90" s="2"/>
      <c r="D90" s="2"/>
      <c r="E90" s="2"/>
      <c r="F90" s="37"/>
      <c r="G90" s="37"/>
      <c r="H90" s="43">
        <f t="shared" si="2"/>
        <v>0</v>
      </c>
      <c r="I90" s="2"/>
      <c r="J90" s="2"/>
      <c r="K90" s="2"/>
      <c r="L90" s="2"/>
      <c r="M90" s="2"/>
      <c r="N90" s="2"/>
    </row>
    <row r="91" spans="1:14" x14ac:dyDescent="0.25">
      <c r="A91" s="2"/>
      <c r="B91" s="2"/>
      <c r="C91" s="2"/>
      <c r="D91" s="2"/>
      <c r="E91" s="2"/>
      <c r="F91" s="37"/>
      <c r="G91" s="37"/>
      <c r="H91" s="43">
        <f t="shared" si="2"/>
        <v>0</v>
      </c>
      <c r="I91" s="2"/>
      <c r="J91" s="2"/>
      <c r="K91" s="2"/>
      <c r="L91" s="2"/>
      <c r="M91" s="2"/>
      <c r="N91" s="2"/>
    </row>
    <row r="92" spans="1:14" x14ac:dyDescent="0.25">
      <c r="A92" s="2"/>
      <c r="B92" s="2"/>
      <c r="C92" s="2"/>
      <c r="D92" s="2"/>
      <c r="E92" s="2"/>
      <c r="F92" s="37"/>
      <c r="G92" s="37"/>
      <c r="H92" s="43">
        <f t="shared" si="2"/>
        <v>0</v>
      </c>
      <c r="I92" s="2"/>
      <c r="J92" s="2"/>
      <c r="K92" s="2"/>
      <c r="L92" s="2"/>
      <c r="M92" s="2"/>
      <c r="N92" s="2"/>
    </row>
    <row r="93" spans="1:14" x14ac:dyDescent="0.25">
      <c r="A93" s="2"/>
      <c r="B93" s="2"/>
      <c r="C93" s="2"/>
      <c r="D93" s="2"/>
      <c r="E93" s="2"/>
      <c r="F93" s="37"/>
      <c r="G93" s="37"/>
      <c r="H93" s="43">
        <f t="shared" si="2"/>
        <v>0</v>
      </c>
      <c r="I93" s="2"/>
      <c r="J93" s="2"/>
      <c r="K93" s="2"/>
      <c r="L93" s="2"/>
      <c r="M93" s="2"/>
      <c r="N93" s="2"/>
    </row>
    <row r="94" spans="1:14" x14ac:dyDescent="0.25">
      <c r="A94" s="2"/>
      <c r="B94" s="2"/>
      <c r="C94" s="2"/>
      <c r="D94" s="2"/>
      <c r="E94" s="2"/>
      <c r="F94" s="37"/>
      <c r="G94" s="37"/>
      <c r="H94" s="43">
        <f t="shared" si="2"/>
        <v>0</v>
      </c>
      <c r="I94" s="2"/>
      <c r="J94" s="2"/>
      <c r="K94" s="2"/>
      <c r="L94" s="2"/>
      <c r="M94" s="2"/>
      <c r="N94" s="2"/>
    </row>
    <row r="95" spans="1:14" x14ac:dyDescent="0.25">
      <c r="A95" s="2"/>
      <c r="B95" s="2"/>
      <c r="C95" s="2"/>
      <c r="D95" s="2"/>
      <c r="E95" s="2"/>
      <c r="F95" s="37"/>
      <c r="G95" s="37"/>
      <c r="H95" s="43">
        <f t="shared" si="2"/>
        <v>0</v>
      </c>
      <c r="I95" s="2"/>
      <c r="J95" s="2"/>
      <c r="K95" s="2"/>
      <c r="L95" s="2"/>
      <c r="M95" s="2"/>
      <c r="N95" s="2"/>
    </row>
    <row r="96" spans="1:14" x14ac:dyDescent="0.25">
      <c r="A96" s="2"/>
      <c r="B96" s="2"/>
      <c r="C96" s="2"/>
      <c r="D96" s="2"/>
      <c r="E96" s="2"/>
      <c r="F96" s="37"/>
      <c r="G96" s="37"/>
      <c r="H96" s="43">
        <f t="shared" si="2"/>
        <v>0</v>
      </c>
      <c r="I96" s="2"/>
      <c r="J96" s="2"/>
      <c r="K96" s="2"/>
      <c r="L96" s="2"/>
      <c r="M96" s="2"/>
      <c r="N96" s="2"/>
    </row>
    <row r="97" spans="1:14" x14ac:dyDescent="0.25">
      <c r="A97" s="2"/>
      <c r="B97" s="2"/>
      <c r="C97" s="2"/>
      <c r="D97" s="2"/>
      <c r="E97" s="2"/>
      <c r="F97" s="37"/>
      <c r="G97" s="37"/>
      <c r="H97" s="43">
        <f t="shared" si="2"/>
        <v>0</v>
      </c>
      <c r="I97" s="2"/>
      <c r="J97" s="2"/>
      <c r="K97" s="2"/>
      <c r="L97" s="2"/>
      <c r="M97" s="2"/>
      <c r="N97" s="2"/>
    </row>
    <row r="98" spans="1:14" x14ac:dyDescent="0.25">
      <c r="A98" s="2"/>
      <c r="B98" s="2"/>
      <c r="C98" s="2"/>
      <c r="D98" s="2"/>
      <c r="E98" s="2"/>
      <c r="F98" s="37"/>
      <c r="G98" s="37"/>
      <c r="H98" s="43">
        <f t="shared" si="2"/>
        <v>0</v>
      </c>
      <c r="I98" s="2"/>
      <c r="J98" s="2"/>
      <c r="K98" s="2"/>
      <c r="L98" s="2"/>
      <c r="M98" s="2"/>
      <c r="N98" s="2"/>
    </row>
    <row r="99" spans="1:14" x14ac:dyDescent="0.25">
      <c r="A99" s="2"/>
      <c r="B99" s="2"/>
      <c r="C99" s="2"/>
      <c r="D99" s="2"/>
      <c r="E99" s="2"/>
      <c r="F99" s="37"/>
      <c r="G99" s="37"/>
      <c r="H99" s="43">
        <f t="shared" si="2"/>
        <v>0</v>
      </c>
      <c r="I99" s="2"/>
      <c r="J99" s="2"/>
      <c r="K99" s="2"/>
      <c r="L99" s="2"/>
      <c r="M99" s="2"/>
      <c r="N99" s="2"/>
    </row>
    <row r="100" spans="1:14" x14ac:dyDescent="0.25">
      <c r="A100" s="2"/>
      <c r="B100" s="2"/>
      <c r="C100" s="2"/>
      <c r="D100" s="2"/>
      <c r="E100" s="2"/>
      <c r="F100" s="37"/>
      <c r="G100" s="37"/>
      <c r="H100" s="43">
        <f t="shared" si="2"/>
        <v>0</v>
      </c>
      <c r="I100" s="2"/>
      <c r="J100" s="2"/>
      <c r="K100" s="2"/>
      <c r="L100" s="2"/>
      <c r="M100" s="2"/>
      <c r="N100" s="2"/>
    </row>
    <row r="101" spans="1:14" x14ac:dyDescent="0.25">
      <c r="A101" s="2"/>
      <c r="B101" s="2"/>
      <c r="C101" s="2"/>
      <c r="D101" s="2"/>
      <c r="E101" s="2"/>
      <c r="F101" s="37"/>
      <c r="G101" s="37"/>
      <c r="H101" s="43">
        <f t="shared" si="2"/>
        <v>0</v>
      </c>
      <c r="I101" s="2"/>
      <c r="J101" s="2"/>
      <c r="K101" s="2"/>
      <c r="L101" s="2"/>
      <c r="M101" s="2"/>
      <c r="N101" s="2"/>
    </row>
    <row r="102" spans="1:14" x14ac:dyDescent="0.25">
      <c r="A102" s="2"/>
      <c r="B102" s="2"/>
      <c r="C102" s="2"/>
      <c r="D102" s="2"/>
      <c r="E102" s="2"/>
      <c r="F102" s="37"/>
      <c r="G102" s="37"/>
      <c r="H102" s="43">
        <f t="shared" si="2"/>
        <v>0</v>
      </c>
      <c r="I102" s="2"/>
      <c r="J102" s="2"/>
      <c r="K102" s="2"/>
      <c r="L102" s="2"/>
      <c r="M102" s="2"/>
      <c r="N102" s="2"/>
    </row>
    <row r="103" spans="1:14" x14ac:dyDescent="0.25">
      <c r="A103" s="2"/>
      <c r="B103" s="2"/>
      <c r="C103" s="2"/>
      <c r="D103" s="2"/>
      <c r="E103" s="2"/>
      <c r="F103" s="37"/>
      <c r="G103" s="37"/>
      <c r="H103" s="43">
        <f t="shared" si="2"/>
        <v>0</v>
      </c>
      <c r="I103" s="2"/>
      <c r="J103" s="2"/>
      <c r="K103" s="2"/>
      <c r="L103" s="2"/>
      <c r="M103" s="2"/>
      <c r="N103" s="2"/>
    </row>
    <row r="104" spans="1:14" x14ac:dyDescent="0.25">
      <c r="A104" s="2"/>
      <c r="B104" s="2"/>
      <c r="C104" s="2"/>
      <c r="D104" s="2"/>
      <c r="E104" s="2"/>
      <c r="F104" s="37"/>
      <c r="G104" s="37"/>
      <c r="H104" s="43">
        <f t="shared" si="2"/>
        <v>0</v>
      </c>
      <c r="I104" s="2"/>
      <c r="J104" s="2"/>
      <c r="K104" s="2"/>
      <c r="L104" s="2"/>
      <c r="M104" s="2"/>
      <c r="N104" s="2"/>
    </row>
    <row r="105" spans="1:14" x14ac:dyDescent="0.25">
      <c r="A105" s="2"/>
      <c r="B105" s="2"/>
      <c r="C105" s="2"/>
      <c r="D105" s="2"/>
      <c r="E105" s="2"/>
      <c r="F105" s="37"/>
      <c r="G105" s="37"/>
      <c r="H105" s="43">
        <f t="shared" si="2"/>
        <v>0</v>
      </c>
      <c r="I105" s="2"/>
      <c r="J105" s="2"/>
      <c r="K105" s="2"/>
      <c r="L105" s="2"/>
      <c r="M105" s="2"/>
      <c r="N105" s="2"/>
    </row>
    <row r="106" spans="1:14" x14ac:dyDescent="0.25">
      <c r="A106" s="2"/>
      <c r="B106" s="2"/>
      <c r="C106" s="2"/>
      <c r="D106" s="2"/>
      <c r="E106" s="2"/>
      <c r="F106" s="37"/>
      <c r="G106" s="37"/>
      <c r="H106" s="43">
        <f t="shared" si="2"/>
        <v>0</v>
      </c>
      <c r="I106" s="2"/>
      <c r="J106" s="2"/>
      <c r="K106" s="2"/>
      <c r="L106" s="2"/>
      <c r="M106" s="2"/>
      <c r="N106" s="2"/>
    </row>
    <row r="107" spans="1:14" x14ac:dyDescent="0.25">
      <c r="A107" s="2"/>
      <c r="B107" s="2"/>
      <c r="C107" s="2"/>
      <c r="D107" s="2"/>
      <c r="E107" s="2"/>
      <c r="F107" s="37"/>
      <c r="G107" s="37"/>
      <c r="H107" s="43">
        <f t="shared" si="2"/>
        <v>0</v>
      </c>
      <c r="I107" s="2"/>
      <c r="J107" s="2"/>
      <c r="K107" s="2"/>
      <c r="L107" s="2"/>
      <c r="M107" s="2"/>
      <c r="N107" s="2"/>
    </row>
    <row r="108" spans="1:14" x14ac:dyDescent="0.25">
      <c r="A108" s="2"/>
      <c r="B108" s="2"/>
      <c r="C108" s="2"/>
      <c r="D108" s="2"/>
      <c r="E108" s="2"/>
      <c r="F108" s="37"/>
      <c r="G108" s="37"/>
      <c r="H108" s="43">
        <f t="shared" si="2"/>
        <v>0</v>
      </c>
      <c r="I108" s="2"/>
      <c r="J108" s="2"/>
      <c r="K108" s="2"/>
      <c r="L108" s="2"/>
      <c r="M108" s="2"/>
      <c r="N108" s="2"/>
    </row>
    <row r="109" spans="1:14" x14ac:dyDescent="0.25">
      <c r="A109" s="2"/>
      <c r="B109" s="2"/>
      <c r="C109" s="2"/>
      <c r="D109" s="2"/>
      <c r="E109" s="2"/>
      <c r="F109" s="37"/>
      <c r="G109" s="37"/>
      <c r="H109" s="43">
        <f t="shared" si="2"/>
        <v>0</v>
      </c>
      <c r="I109" s="2"/>
      <c r="J109" s="2"/>
      <c r="K109" s="2"/>
      <c r="L109" s="2"/>
      <c r="M109" s="2"/>
      <c r="N109" s="2"/>
    </row>
    <row r="110" spans="1:14" x14ac:dyDescent="0.25">
      <c r="A110" s="2"/>
      <c r="B110" s="2"/>
      <c r="C110" s="2"/>
      <c r="D110" s="2"/>
      <c r="E110" s="2"/>
      <c r="F110" s="37"/>
      <c r="G110" s="37"/>
      <c r="H110" s="43">
        <f t="shared" si="2"/>
        <v>0</v>
      </c>
      <c r="I110" s="2"/>
      <c r="J110" s="2"/>
      <c r="K110" s="2"/>
      <c r="L110" s="2"/>
      <c r="M110" s="2"/>
      <c r="N110" s="2"/>
    </row>
    <row r="111" spans="1:14" x14ac:dyDescent="0.25">
      <c r="A111" s="2"/>
      <c r="B111" s="2"/>
      <c r="C111" s="2"/>
      <c r="D111" s="2"/>
      <c r="E111" s="2"/>
      <c r="F111" s="37"/>
      <c r="G111" s="37"/>
      <c r="H111" s="43">
        <f t="shared" si="2"/>
        <v>0</v>
      </c>
      <c r="I111" s="2"/>
      <c r="J111" s="2"/>
      <c r="K111" s="2"/>
      <c r="L111" s="2"/>
      <c r="M111" s="2"/>
      <c r="N111" s="2"/>
    </row>
    <row r="112" spans="1:14" x14ac:dyDescent="0.25">
      <c r="A112" s="2"/>
      <c r="B112" s="2"/>
      <c r="C112" s="2"/>
      <c r="D112" s="2"/>
      <c r="E112" s="2"/>
      <c r="F112" s="37"/>
      <c r="G112" s="37"/>
      <c r="H112" s="43">
        <f t="shared" si="2"/>
        <v>0</v>
      </c>
      <c r="I112" s="2"/>
      <c r="J112" s="2"/>
      <c r="K112" s="2"/>
      <c r="L112" s="2"/>
      <c r="M112" s="2"/>
      <c r="N112" s="2"/>
    </row>
    <row r="113" spans="1:14" x14ac:dyDescent="0.25">
      <c r="A113" s="2"/>
      <c r="B113" s="2"/>
      <c r="C113" s="2"/>
      <c r="D113" s="2"/>
      <c r="E113" s="2"/>
      <c r="F113" s="37"/>
      <c r="G113" s="37"/>
      <c r="H113" s="43">
        <f t="shared" si="2"/>
        <v>0</v>
      </c>
      <c r="I113" s="2"/>
      <c r="J113" s="2"/>
      <c r="K113" s="2"/>
      <c r="L113" s="2"/>
      <c r="M113" s="2"/>
      <c r="N113" s="2"/>
    </row>
    <row r="114" spans="1:14" x14ac:dyDescent="0.25">
      <c r="A114" s="2"/>
      <c r="B114" s="2"/>
      <c r="C114" s="2"/>
      <c r="D114" s="2"/>
      <c r="E114" s="2"/>
      <c r="F114" s="37"/>
      <c r="G114" s="37"/>
      <c r="H114" s="43">
        <f t="shared" si="2"/>
        <v>0</v>
      </c>
      <c r="I114" s="2"/>
      <c r="J114" s="2"/>
      <c r="K114" s="2"/>
      <c r="L114" s="2"/>
      <c r="M114" s="2"/>
      <c r="N114" s="2"/>
    </row>
    <row r="115" spans="1:14" x14ac:dyDescent="0.25">
      <c r="A115" s="2"/>
      <c r="B115" s="2"/>
      <c r="C115" s="2"/>
      <c r="D115" s="2"/>
      <c r="E115" s="2"/>
      <c r="F115" s="37"/>
      <c r="G115" s="37"/>
      <c r="H115" s="43">
        <f t="shared" si="2"/>
        <v>0</v>
      </c>
      <c r="I115" s="2"/>
      <c r="J115" s="2"/>
      <c r="K115" s="2"/>
      <c r="L115" s="2"/>
      <c r="M115" s="2"/>
      <c r="N115" s="2"/>
    </row>
    <row r="116" spans="1:14" x14ac:dyDescent="0.25">
      <c r="A116" s="2"/>
      <c r="B116" s="2"/>
      <c r="C116" s="2"/>
      <c r="D116" s="2"/>
      <c r="E116" s="2"/>
      <c r="F116" s="37"/>
      <c r="G116" s="37"/>
      <c r="H116" s="43">
        <f t="shared" si="2"/>
        <v>0</v>
      </c>
      <c r="I116" s="2"/>
      <c r="J116" s="2"/>
      <c r="K116" s="2"/>
      <c r="L116" s="2"/>
      <c r="M116" s="2"/>
      <c r="N116" s="2"/>
    </row>
    <row r="117" spans="1:14" x14ac:dyDescent="0.25">
      <c r="A117" s="2"/>
      <c r="B117" s="2"/>
      <c r="C117" s="2"/>
      <c r="D117" s="2"/>
      <c r="E117" s="2"/>
      <c r="F117" s="37"/>
      <c r="G117" s="37"/>
      <c r="H117" s="43">
        <f t="shared" si="2"/>
        <v>0</v>
      </c>
      <c r="I117" s="2"/>
      <c r="J117" s="2"/>
      <c r="K117" s="2"/>
      <c r="L117" s="2"/>
      <c r="M117" s="2"/>
      <c r="N117" s="2"/>
    </row>
    <row r="118" spans="1:14" x14ac:dyDescent="0.25">
      <c r="A118" s="2"/>
      <c r="B118" s="2"/>
      <c r="C118" s="2"/>
      <c r="D118" s="2"/>
      <c r="E118" s="2"/>
      <c r="F118" s="37"/>
      <c r="G118" s="37"/>
      <c r="H118" s="43">
        <f t="shared" si="2"/>
        <v>0</v>
      </c>
      <c r="I118" s="2"/>
      <c r="J118" s="2"/>
      <c r="K118" s="2"/>
      <c r="L118" s="2"/>
      <c r="M118" s="2"/>
      <c r="N118" s="2"/>
    </row>
    <row r="119" spans="1:14" x14ac:dyDescent="0.25">
      <c r="A119" s="2"/>
      <c r="B119" s="2"/>
      <c r="C119" s="2"/>
      <c r="D119" s="2"/>
      <c r="E119" s="2"/>
      <c r="F119" s="37"/>
      <c r="G119" s="37"/>
      <c r="H119" s="43">
        <f t="shared" si="2"/>
        <v>0</v>
      </c>
      <c r="I119" s="2"/>
      <c r="J119" s="2"/>
      <c r="K119" s="2"/>
      <c r="L119" s="2"/>
      <c r="M119" s="2"/>
      <c r="N119" s="2"/>
    </row>
    <row r="120" spans="1:14" x14ac:dyDescent="0.25">
      <c r="A120" s="2"/>
      <c r="B120" s="2"/>
      <c r="C120" s="2"/>
      <c r="D120" s="2"/>
      <c r="E120" s="2"/>
      <c r="F120" s="37"/>
      <c r="G120" s="37"/>
      <c r="H120" s="43">
        <f t="shared" si="2"/>
        <v>0</v>
      </c>
      <c r="I120" s="2"/>
      <c r="J120" s="2"/>
      <c r="K120" s="2"/>
      <c r="L120" s="2"/>
      <c r="M120" s="2"/>
      <c r="N120" s="2"/>
    </row>
    <row r="121" spans="1:14" x14ac:dyDescent="0.25">
      <c r="A121" s="2"/>
      <c r="B121" s="2"/>
      <c r="C121" s="2"/>
      <c r="D121" s="2"/>
      <c r="E121" s="2"/>
      <c r="F121" s="37"/>
      <c r="G121" s="37"/>
      <c r="H121" s="43">
        <f t="shared" si="2"/>
        <v>0</v>
      </c>
      <c r="I121" s="2"/>
      <c r="J121" s="2"/>
      <c r="K121" s="2"/>
      <c r="L121" s="2"/>
      <c r="M121" s="2"/>
      <c r="N121" s="2"/>
    </row>
    <row r="122" spans="1:14" x14ac:dyDescent="0.25">
      <c r="A122" s="2"/>
      <c r="B122" s="2"/>
      <c r="C122" s="2"/>
      <c r="D122" s="2"/>
      <c r="E122" s="2"/>
      <c r="F122" s="37"/>
      <c r="G122" s="37"/>
      <c r="H122" s="43">
        <f t="shared" si="2"/>
        <v>0</v>
      </c>
      <c r="I122" s="2"/>
      <c r="J122" s="2"/>
      <c r="K122" s="2"/>
      <c r="L122" s="2"/>
      <c r="M122" s="2"/>
      <c r="N122" s="2"/>
    </row>
    <row r="123" spans="1:14" x14ac:dyDescent="0.25">
      <c r="A123" s="2"/>
      <c r="B123" s="2"/>
      <c r="C123" s="2"/>
      <c r="D123" s="2"/>
      <c r="E123" s="2"/>
      <c r="F123" s="37"/>
      <c r="G123" s="37"/>
      <c r="H123" s="43">
        <f t="shared" si="2"/>
        <v>0</v>
      </c>
      <c r="I123" s="2"/>
      <c r="J123" s="2"/>
      <c r="K123" s="2"/>
      <c r="L123" s="2"/>
      <c r="M123" s="2"/>
      <c r="N123" s="2"/>
    </row>
    <row r="124" spans="1:14" x14ac:dyDescent="0.25">
      <c r="A124" s="2"/>
      <c r="B124" s="2"/>
      <c r="C124" s="2"/>
      <c r="D124" s="2"/>
      <c r="E124" s="2"/>
      <c r="F124" s="37"/>
      <c r="G124" s="37"/>
      <c r="H124" s="43">
        <f t="shared" si="2"/>
        <v>0</v>
      </c>
      <c r="I124" s="2"/>
      <c r="J124" s="2"/>
      <c r="K124" s="2"/>
      <c r="L124" s="2"/>
      <c r="M124" s="2"/>
      <c r="N124" s="2"/>
    </row>
    <row r="125" spans="1:14" x14ac:dyDescent="0.25">
      <c r="A125" s="2"/>
      <c r="B125" s="2"/>
      <c r="C125" s="2"/>
      <c r="D125" s="2"/>
      <c r="E125" s="2"/>
      <c r="F125" s="37"/>
      <c r="G125" s="37"/>
      <c r="H125" s="43">
        <f t="shared" si="2"/>
        <v>0</v>
      </c>
      <c r="I125" s="2"/>
      <c r="J125" s="2"/>
      <c r="K125" s="2"/>
      <c r="L125" s="2"/>
      <c r="M125" s="2"/>
      <c r="N125" s="2"/>
    </row>
    <row r="126" spans="1:14" x14ac:dyDescent="0.25">
      <c r="A126" s="2"/>
      <c r="B126" s="2"/>
      <c r="C126" s="2"/>
      <c r="D126" s="2"/>
      <c r="E126" s="2"/>
      <c r="F126" s="37"/>
      <c r="G126" s="37"/>
      <c r="H126" s="43">
        <f t="shared" si="2"/>
        <v>0</v>
      </c>
      <c r="I126" s="2"/>
      <c r="J126" s="2"/>
      <c r="K126" s="2"/>
      <c r="L126" s="2"/>
      <c r="M126" s="2"/>
      <c r="N126" s="2"/>
    </row>
    <row r="127" spans="1:14" x14ac:dyDescent="0.25">
      <c r="A127" s="2"/>
      <c r="B127" s="2"/>
      <c r="C127" s="2"/>
      <c r="D127" s="2"/>
      <c r="E127" s="2"/>
      <c r="F127" s="37"/>
      <c r="G127" s="37"/>
      <c r="H127" s="43">
        <f t="shared" si="2"/>
        <v>0</v>
      </c>
      <c r="I127" s="2"/>
      <c r="J127" s="2"/>
      <c r="K127" s="2"/>
      <c r="L127" s="2"/>
      <c r="M127" s="2"/>
      <c r="N127" s="2"/>
    </row>
    <row r="128" spans="1:14" x14ac:dyDescent="0.25">
      <c r="A128" s="2"/>
      <c r="B128" s="2"/>
      <c r="C128" s="2"/>
      <c r="D128" s="2"/>
      <c r="E128" s="2"/>
      <c r="F128" s="37"/>
      <c r="G128" s="37"/>
      <c r="H128" s="43">
        <f t="shared" si="2"/>
        <v>0</v>
      </c>
      <c r="I128" s="2"/>
      <c r="J128" s="2"/>
      <c r="K128" s="2"/>
      <c r="L128" s="2"/>
      <c r="M128" s="2"/>
      <c r="N128" s="2"/>
    </row>
    <row r="129" spans="1:14" x14ac:dyDescent="0.25">
      <c r="A129" s="2"/>
      <c r="B129" s="2"/>
      <c r="C129" s="2"/>
      <c r="D129" s="2"/>
      <c r="E129" s="2"/>
      <c r="F129" s="37"/>
      <c r="G129" s="37"/>
      <c r="H129" s="43">
        <f t="shared" si="2"/>
        <v>0</v>
      </c>
      <c r="I129" s="2"/>
      <c r="J129" s="2"/>
      <c r="K129" s="2"/>
      <c r="L129" s="2"/>
      <c r="M129" s="2"/>
      <c r="N129" s="2"/>
    </row>
    <row r="130" spans="1:14" x14ac:dyDescent="0.25">
      <c r="A130" s="2"/>
      <c r="B130" s="2"/>
      <c r="C130" s="2"/>
      <c r="D130" s="2"/>
      <c r="E130" s="2"/>
      <c r="F130" s="37"/>
      <c r="G130" s="37"/>
      <c r="H130" s="43">
        <f t="shared" ref="H130:H137" si="3">NETWORKDAYS(F130,G130)</f>
        <v>0</v>
      </c>
      <c r="I130" s="2"/>
      <c r="J130" s="2"/>
      <c r="K130" s="2"/>
      <c r="L130" s="2"/>
      <c r="M130" s="2"/>
      <c r="N130" s="2"/>
    </row>
    <row r="131" spans="1:14" x14ac:dyDescent="0.25">
      <c r="A131" s="2"/>
      <c r="B131" s="2"/>
      <c r="C131" s="2"/>
      <c r="D131" s="2"/>
      <c r="E131" s="2"/>
      <c r="F131" s="37"/>
      <c r="G131" s="37"/>
      <c r="H131" s="43">
        <f t="shared" si="3"/>
        <v>0</v>
      </c>
      <c r="I131" s="2"/>
      <c r="J131" s="2"/>
      <c r="K131" s="2"/>
      <c r="L131" s="2"/>
      <c r="M131" s="2"/>
      <c r="N131" s="2"/>
    </row>
    <row r="132" spans="1:14" x14ac:dyDescent="0.25">
      <c r="A132" s="2"/>
      <c r="B132" s="2"/>
      <c r="C132" s="2"/>
      <c r="D132" s="2"/>
      <c r="E132" s="2"/>
      <c r="F132" s="37"/>
      <c r="G132" s="37"/>
      <c r="H132" s="43">
        <f t="shared" si="3"/>
        <v>0</v>
      </c>
      <c r="I132" s="2"/>
      <c r="J132" s="2"/>
      <c r="K132" s="2"/>
      <c r="L132" s="2"/>
      <c r="M132" s="2"/>
      <c r="N132" s="2"/>
    </row>
    <row r="133" spans="1:14" x14ac:dyDescent="0.25">
      <c r="A133" s="2"/>
      <c r="B133" s="2"/>
      <c r="C133" s="2"/>
      <c r="D133" s="2"/>
      <c r="E133" s="2"/>
      <c r="F133" s="37"/>
      <c r="G133" s="37"/>
      <c r="H133" s="43">
        <f t="shared" si="3"/>
        <v>0</v>
      </c>
      <c r="I133" s="2"/>
      <c r="J133" s="2"/>
      <c r="K133" s="2"/>
      <c r="L133" s="2"/>
      <c r="M133" s="2"/>
      <c r="N133" s="2"/>
    </row>
    <row r="134" spans="1:14" x14ac:dyDescent="0.25">
      <c r="A134" s="2"/>
      <c r="B134" s="2"/>
      <c r="C134" s="2"/>
      <c r="D134" s="2"/>
      <c r="E134" s="2"/>
      <c r="F134" s="37"/>
      <c r="G134" s="37"/>
      <c r="H134" s="43">
        <f t="shared" si="3"/>
        <v>0</v>
      </c>
      <c r="I134" s="2"/>
      <c r="J134" s="2"/>
      <c r="K134" s="2"/>
      <c r="L134" s="2"/>
      <c r="M134" s="2"/>
      <c r="N134" s="2"/>
    </row>
    <row r="135" spans="1:14" x14ac:dyDescent="0.25">
      <c r="A135" s="2"/>
      <c r="B135" s="2"/>
      <c r="C135" s="2"/>
      <c r="D135" s="2"/>
      <c r="E135" s="2"/>
      <c r="F135" s="37"/>
      <c r="G135" s="37"/>
      <c r="H135" s="43">
        <f t="shared" si="3"/>
        <v>0</v>
      </c>
      <c r="I135" s="2"/>
      <c r="J135" s="2"/>
      <c r="K135" s="2"/>
      <c r="L135" s="2"/>
      <c r="M135" s="2"/>
      <c r="N135" s="2"/>
    </row>
    <row r="136" spans="1:14" x14ac:dyDescent="0.25">
      <c r="A136" s="2"/>
      <c r="B136" s="2"/>
      <c r="C136" s="2"/>
      <c r="D136" s="2"/>
      <c r="E136" s="2"/>
      <c r="F136" s="37"/>
      <c r="G136" s="37"/>
      <c r="H136" s="43">
        <f t="shared" si="3"/>
        <v>0</v>
      </c>
      <c r="I136" s="2"/>
      <c r="J136" s="2"/>
      <c r="K136" s="2"/>
      <c r="L136" s="2"/>
      <c r="M136" s="2"/>
      <c r="N136" s="2"/>
    </row>
    <row r="137" spans="1:14" x14ac:dyDescent="0.25">
      <c r="A137" s="2"/>
      <c r="B137" s="2"/>
      <c r="C137" s="2"/>
      <c r="D137" s="2"/>
      <c r="E137" s="2"/>
      <c r="F137" s="37"/>
      <c r="G137" s="37"/>
      <c r="H137" s="43">
        <f t="shared" si="3"/>
        <v>0</v>
      </c>
      <c r="I137" s="2"/>
      <c r="J137" s="2"/>
      <c r="K137" s="2"/>
      <c r="L137" s="2"/>
      <c r="M137" s="2"/>
      <c r="N137" s="2"/>
    </row>
  </sheetData>
  <dataValidations count="5">
    <dataValidation type="list" allowBlank="1" showInputMessage="1" showErrorMessage="1" sqref="A4:A137" xr:uid="{BAC8ED97-CC2E-4021-A6AB-63A36241B33E}">
      <formula1>"Public Web,Secure Web"</formula1>
    </dataValidation>
    <dataValidation type="list" allowBlank="1" showInputMessage="1" showErrorMessage="1" sqref="K4:K137" xr:uid="{B2D216A0-145A-48E7-AE47-997E5EE48A3C}">
      <formula1>"Yes,No"</formula1>
    </dataValidation>
    <dataValidation type="list" allowBlank="1" showInputMessage="1" showErrorMessage="1" sqref="I4:I137" xr:uid="{FE4156C5-F6D9-4D0E-8A0A-8AFBB6D6F607}">
      <formula1>"10%,20%,30%,40%,50%,60%,70%,80%,90%,100%"</formula1>
    </dataValidation>
    <dataValidation type="list" sqref="M4:N137" xr:uid="{72515BC1-8D7D-4405-80BE-B842DCE90551}">
      <formula1>"TBC,Not Started,In Progress,Ready,Blocked,Complete,N/A"</formula1>
    </dataValidation>
    <dataValidation type="list" allowBlank="1" showInputMessage="1" showErrorMessage="1" sqref="J4:J137" xr:uid="{DC356DF9-05D7-4A1E-B4B0-7EE85CD9C7A7}">
      <formula1>"Critical,High,Medium,Low"</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C30A-9D13-4E1B-BD7E-508D6B43DC23}">
  <dimension ref="B4:E4"/>
  <sheetViews>
    <sheetView workbookViewId="0">
      <selection activeCell="C4" sqref="C4"/>
    </sheetView>
  </sheetViews>
  <sheetFormatPr defaultRowHeight="15" x14ac:dyDescent="0.25"/>
  <cols>
    <col min="2" max="2" width="27.5703125" customWidth="1"/>
    <col min="3" max="3" width="34.28515625" customWidth="1"/>
    <col min="4" max="4" width="24.85546875" customWidth="1"/>
    <col min="5" max="5" width="30.28515625" customWidth="1"/>
  </cols>
  <sheetData>
    <row r="4" spans="2:5" x14ac:dyDescent="0.25">
      <c r="B4" t="s">
        <v>349</v>
      </c>
      <c r="C4" t="s">
        <v>350</v>
      </c>
      <c r="D4" t="s">
        <v>351</v>
      </c>
      <c r="E4" t="s">
        <v>352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E0E9-58A4-4BE1-8383-C159BB6FC842}">
  <dimension ref="A1:P327"/>
  <sheetViews>
    <sheetView topLeftCell="A45" workbookViewId="0"/>
  </sheetViews>
  <sheetFormatPr defaultRowHeight="14.45" x14ac:dyDescent="0.25"/>
  <cols>
    <col min="1" max="1" width="20.5703125" bestFit="1" customWidth="1"/>
    <col min="2" max="2" width="6.5703125" bestFit="1" customWidth="1"/>
    <col min="3" max="3" width="8" bestFit="1" customWidth="1"/>
    <col min="4" max="4" width="7.7109375" bestFit="1" customWidth="1"/>
    <col min="5" max="5" width="12.140625" bestFit="1" customWidth="1"/>
    <col min="6" max="6" width="6.85546875" bestFit="1" customWidth="1"/>
    <col min="7" max="7" width="26.5703125" bestFit="1" customWidth="1"/>
    <col min="8" max="9" width="10.28515625" bestFit="1" customWidth="1"/>
    <col min="10" max="10" width="13.85546875" bestFit="1" customWidth="1"/>
    <col min="11" max="11" width="15" bestFit="1" customWidth="1"/>
    <col min="12" max="12" width="7.140625" bestFit="1" customWidth="1"/>
    <col min="13" max="13" width="21.28515625" bestFit="1" customWidth="1"/>
    <col min="14" max="14" width="19.42578125" bestFit="1" customWidth="1"/>
    <col min="15" max="15" width="29" bestFit="1" customWidth="1"/>
    <col min="16" max="16" width="10.140625" bestFit="1" customWidth="1"/>
  </cols>
  <sheetData>
    <row r="1" spans="1:16" s="59" customFormat="1" ht="15" x14ac:dyDescent="0.25">
      <c r="A1" s="60" t="s">
        <v>196</v>
      </c>
      <c r="B1" s="60" t="s">
        <v>197</v>
      </c>
      <c r="C1" s="60" t="s">
        <v>198</v>
      </c>
      <c r="D1" s="60" t="s">
        <v>199</v>
      </c>
      <c r="E1" s="60" t="s">
        <v>200</v>
      </c>
      <c r="F1" s="60" t="s">
        <v>201</v>
      </c>
      <c r="G1" s="60" t="s">
        <v>6</v>
      </c>
      <c r="H1" s="60" t="s">
        <v>7</v>
      </c>
      <c r="I1" s="60" t="s">
        <v>8</v>
      </c>
      <c r="J1" s="60" t="s">
        <v>9</v>
      </c>
      <c r="K1" s="60" t="s">
        <v>202</v>
      </c>
      <c r="L1" s="60" t="s">
        <v>11</v>
      </c>
      <c r="M1" s="60" t="s">
        <v>203</v>
      </c>
      <c r="N1" s="60" t="s">
        <v>204</v>
      </c>
      <c r="O1" s="60" t="s">
        <v>14</v>
      </c>
      <c r="P1" s="60" t="s">
        <v>15</v>
      </c>
    </row>
    <row r="2" spans="1:16" x14ac:dyDescent="0.25">
      <c r="A2" t="str">
        <f>'Design Standards'!$B$1</f>
        <v>Design Standards</v>
      </c>
      <c r="B2" t="str">
        <f>'Design Standards'!$B$2</f>
        <v>Justin</v>
      </c>
      <c r="C2" t="str">
        <f>'Design Standards'!A4</f>
        <v>Public Web</v>
      </c>
      <c r="D2" t="str">
        <f>'Design Standards'!B4</f>
        <v>OMCOZA</v>
      </c>
      <c r="E2" t="str">
        <f>'Design Standards'!C4</f>
        <v>Entire site</v>
      </c>
      <c r="F2" t="str">
        <f>'Design Standards'!D4</f>
        <v>Navigation</v>
      </c>
      <c r="G2" t="str">
        <f>'Design Standards'!E4</f>
        <v>Design navigation structure based on the IA</v>
      </c>
      <c r="H2" s="61">
        <f>IF('Design Standards'!F4="","",'Design Standards'!F4)</f>
        <v>46177</v>
      </c>
      <c r="I2" s="61">
        <f>IF('Design Standards'!G4="","",'Design Standards'!G4)</f>
        <v>46190</v>
      </c>
      <c r="J2">
        <f>'Design Standards'!H4</f>
        <v>10</v>
      </c>
      <c r="K2" s="63">
        <f>'Design Standards'!I4</f>
        <v>1</v>
      </c>
      <c r="L2" t="str">
        <f>'Design Standards'!J4</f>
        <v>Critical</v>
      </c>
      <c r="M2" t="str">
        <f>'Design Standards'!K4</f>
        <v>Yes</v>
      </c>
      <c r="N2" t="str">
        <f>'Design Standards'!L4</f>
        <v>Though we have an agreed structure, there is a dependency on brand alignment. Even though there is structure, we may not have stressed tested everything.</v>
      </c>
      <c r="O2" t="str">
        <f>'Design Standards'!M4</f>
        <v>In Progress</v>
      </c>
      <c r="P2" t="str">
        <f>'Design Standards'!N4</f>
        <v>This is about 90% complete, there is some changes based on testing and brand alignment (based on the approved interim brand). The DS team has paused this until we provide the amended nav structure.</v>
      </c>
    </row>
    <row r="3" spans="1:16" x14ac:dyDescent="0.25">
      <c r="A3" t="str">
        <f>'Design Standards'!$B$1</f>
        <v>Design Standards</v>
      </c>
      <c r="B3" t="str">
        <f>'Design Standards'!$B$2</f>
        <v>Justin</v>
      </c>
      <c r="C3" t="str">
        <f>'Design Standards'!A5</f>
        <v>Public Web</v>
      </c>
      <c r="D3" t="str">
        <f>'Design Standards'!B5</f>
        <v>OMCOZA</v>
      </c>
      <c r="E3" t="str">
        <f>'Design Standards'!C5</f>
        <v>Entire site</v>
      </c>
      <c r="F3" t="str">
        <f>'Design Standards'!D5</f>
        <v>Navigation</v>
      </c>
      <c r="G3" t="str">
        <f>'Design Standards'!E5</f>
        <v>Complete footer navigation structure based on the IA</v>
      </c>
      <c r="H3" s="61">
        <f>IF('Design Standards'!F5="","",'Design Standards'!F5)</f>
        <v>46177</v>
      </c>
      <c r="I3" s="61">
        <f>IF('Design Standards'!G5="","",'Design Standards'!G5)</f>
        <v>46190</v>
      </c>
      <c r="J3">
        <f>'Design Standards'!H5</f>
        <v>10</v>
      </c>
      <c r="K3">
        <f>'Design Standards'!I5</f>
        <v>1</v>
      </c>
      <c r="L3" t="str">
        <f>'Design Standards'!J5</f>
        <v>Critical</v>
      </c>
      <c r="M3" t="str">
        <f>'Design Standards'!K5</f>
        <v>Yes</v>
      </c>
      <c r="N3" t="str">
        <f>'Design Standards'!L5</f>
        <v>Structure is agreed, we just need to finalise it with the actual AI and Nav items to display. We also need to remove the ribbon logo and update it as per the interim brand.</v>
      </c>
      <c r="O3" t="str">
        <f>'Design Standards'!M5</f>
        <v>In Progress</v>
      </c>
      <c r="P3" t="str">
        <f>'Design Standards'!N5</f>
        <v>This is about 70% complete, just need to align to approved interim Brand CI</v>
      </c>
    </row>
    <row r="4" spans="1:16" x14ac:dyDescent="0.25">
      <c r="A4" t="str">
        <f>'Design Standards'!$B$1</f>
        <v>Design Standards</v>
      </c>
      <c r="B4" t="str">
        <f>'Design Standards'!$B$2</f>
        <v>Justin</v>
      </c>
      <c r="C4" t="str">
        <f>'Design Standards'!A6</f>
        <v>Public Web</v>
      </c>
      <c r="D4" t="str">
        <f>'Design Standards'!B6</f>
        <v>OMCOZA</v>
      </c>
      <c r="E4" t="str">
        <f>'Design Standards'!C6</f>
        <v>Entire site</v>
      </c>
      <c r="F4" t="str">
        <f>'Design Standards'!D6</f>
        <v>Templates</v>
      </c>
      <c r="G4" t="str">
        <f>'Design Standards'!E6</f>
        <v>Design Landing Page Template</v>
      </c>
      <c r="H4" s="61">
        <f>IF('Design Standards'!F6="","",'Design Standards'!F6)</f>
        <v>46191</v>
      </c>
      <c r="I4" s="61">
        <f>IF('Design Standards'!G6="","",'Design Standards'!G6)</f>
        <v>46204</v>
      </c>
      <c r="J4">
        <f>'Design Standards'!H6</f>
        <v>10</v>
      </c>
      <c r="K4">
        <f>'Design Standards'!I6</f>
        <v>0.6</v>
      </c>
      <c r="L4" t="str">
        <f>'Design Standards'!J6</f>
        <v>Critical</v>
      </c>
      <c r="M4" t="str">
        <f>'Design Standards'!K6</f>
        <v>Yes</v>
      </c>
      <c r="N4" t="str">
        <f>'Design Standards'!L6</f>
        <v>This requires input and alignment from who will be providing feedback and approval of templates like this.</v>
      </c>
      <c r="O4" t="str">
        <f>'Design Standards'!M6</f>
        <v>In Progress</v>
      </c>
      <c r="P4" t="str">
        <f>'Design Standards'!N6</f>
        <v>This work has started</v>
      </c>
    </row>
    <row r="5" spans="1:16" x14ac:dyDescent="0.25">
      <c r="A5" t="str">
        <f>'Design Standards'!$B$1</f>
        <v>Design Standards</v>
      </c>
      <c r="B5" t="str">
        <f>'Design Standards'!$B$2</f>
        <v>Justin</v>
      </c>
      <c r="C5" t="str">
        <f>'Design Standards'!A7</f>
        <v>Public Web</v>
      </c>
      <c r="D5" t="str">
        <f>'Design Standards'!B7</f>
        <v>OMCOZA</v>
      </c>
      <c r="E5" t="str">
        <f>'Design Standards'!C7</f>
        <v>Entire site</v>
      </c>
      <c r="F5" t="str">
        <f>'Design Standards'!D7</f>
        <v>Templates</v>
      </c>
      <c r="G5" t="str">
        <f>'Design Standards'!E7</f>
        <v>Design Section Page Template</v>
      </c>
      <c r="H5" s="61">
        <f>IF('Design Standards'!F7="","",'Design Standards'!F7)</f>
        <v>46191</v>
      </c>
      <c r="I5" s="61">
        <f>IF('Design Standards'!G7="","",'Design Standards'!G7)</f>
        <v>46204</v>
      </c>
      <c r="J5">
        <f>'Design Standards'!H7</f>
        <v>10</v>
      </c>
      <c r="K5">
        <f>'Design Standards'!I7</f>
        <v>0.6</v>
      </c>
      <c r="L5" t="str">
        <f>'Design Standards'!J7</f>
        <v>High</v>
      </c>
      <c r="M5" t="str">
        <f>'Design Standards'!K7</f>
        <v>Yes</v>
      </c>
      <c r="N5" t="str">
        <f>'Design Standards'!L7</f>
        <v>This requires input and alignment from who will be providing feedback and approval of templates like this.</v>
      </c>
      <c r="O5" t="str">
        <f>'Design Standards'!M7</f>
        <v>In Progress</v>
      </c>
      <c r="P5" t="str">
        <f>'Design Standards'!N7</f>
        <v>This work has started</v>
      </c>
    </row>
    <row r="6" spans="1:16" x14ac:dyDescent="0.25">
      <c r="A6" t="str">
        <f>'Design Standards'!$B$1</f>
        <v>Design Standards</v>
      </c>
      <c r="B6" t="str">
        <f>'Design Standards'!$B$2</f>
        <v>Justin</v>
      </c>
      <c r="C6" t="str">
        <f>'Design Standards'!A8</f>
        <v>Public Web</v>
      </c>
      <c r="D6" t="str">
        <f>'Design Standards'!B8</f>
        <v>OMCOZA</v>
      </c>
      <c r="E6" t="str">
        <f>'Design Standards'!C8</f>
        <v>Entire site</v>
      </c>
      <c r="F6" t="str">
        <f>'Design Standards'!D8</f>
        <v>Templates</v>
      </c>
      <c r="G6" t="str">
        <f>'Design Standards'!E8</f>
        <v>Finalise Category Page Template</v>
      </c>
      <c r="H6" s="61">
        <f>IF('Design Standards'!F8="","",'Design Standards'!F8)</f>
        <v>46177</v>
      </c>
      <c r="I6" s="61">
        <f>IF('Design Standards'!G8="","",'Design Standards'!G8)</f>
        <v>46190</v>
      </c>
      <c r="J6">
        <f>'Design Standards'!H8</f>
        <v>10</v>
      </c>
      <c r="K6">
        <f>'Design Standards'!I8</f>
        <v>0.8</v>
      </c>
      <c r="L6" t="str">
        <f>'Design Standards'!J8</f>
        <v>High</v>
      </c>
      <c r="M6" t="str">
        <f>'Design Standards'!K8</f>
        <v>Yes</v>
      </c>
      <c r="N6" t="str">
        <f>'Design Standards'!L8</f>
        <v>This needs to be further stress tested, but Retirement and Funeral is in a place where we are communicting this to DS.</v>
      </c>
      <c r="O6" t="str">
        <f>'Design Standards'!M8</f>
        <v>In Progress</v>
      </c>
      <c r="P6" t="str">
        <f>'Design Standards'!N8</f>
        <v>This is about 90% with the 2 categories designed.</v>
      </c>
    </row>
    <row r="7" spans="1:16" x14ac:dyDescent="0.25">
      <c r="A7" t="str">
        <f>'Design Standards'!$B$1</f>
        <v>Design Standards</v>
      </c>
      <c r="B7" t="str">
        <f>'Design Standards'!$B$2</f>
        <v>Justin</v>
      </c>
      <c r="C7" t="str">
        <f>'Design Standards'!A9</f>
        <v>Public Web</v>
      </c>
      <c r="D7" t="str">
        <f>'Design Standards'!B9</f>
        <v>OMCOZA</v>
      </c>
      <c r="E7" t="str">
        <f>'Design Standards'!C9</f>
        <v>Entire site</v>
      </c>
      <c r="F7" t="str">
        <f>'Design Standards'!D9</f>
        <v>Templates</v>
      </c>
      <c r="G7" t="str">
        <f>'Design Standards'!E9</f>
        <v>Finalise Product Page Template</v>
      </c>
      <c r="H7" s="61">
        <f>IF('Design Standards'!F9="","",'Design Standards'!F9)</f>
        <v>46177</v>
      </c>
      <c r="I7" s="61">
        <f>IF('Design Standards'!G9="","",'Design Standards'!G9)</f>
        <v>46190</v>
      </c>
      <c r="J7">
        <f>'Design Standards'!H9</f>
        <v>10</v>
      </c>
      <c r="K7">
        <f>'Design Standards'!I9</f>
        <v>0.8</v>
      </c>
      <c r="L7" t="str">
        <f>'Design Standards'!J9</f>
        <v>High</v>
      </c>
      <c r="M7" t="str">
        <f>'Design Standards'!K9</f>
        <v>Yes</v>
      </c>
      <c r="N7" t="str">
        <f>'Design Standards'!L9</f>
        <v>This needs to be further stress tested, but Max Investments, Funeral Plan and FlexiSave is in a place where we are communicting this to DS.</v>
      </c>
      <c r="O7" t="str">
        <f>'Design Standards'!M9</f>
        <v>In Progress</v>
      </c>
      <c r="P7" t="str">
        <f>'Design Standards'!N9</f>
        <v>This is about 90% done with 3 product pages completed.</v>
      </c>
    </row>
    <row r="8" spans="1:16" x14ac:dyDescent="0.25">
      <c r="A8" t="str">
        <f>'Design Standards'!$B$1</f>
        <v>Design Standards</v>
      </c>
      <c r="B8" t="str">
        <f>'Design Standards'!$B$2</f>
        <v>Justin</v>
      </c>
      <c r="C8" t="str">
        <f>'Design Standards'!A10</f>
        <v>Public Web</v>
      </c>
      <c r="D8" t="str">
        <f>'Design Standards'!B10</f>
        <v>OMCOZA</v>
      </c>
      <c r="E8" t="str">
        <f>'Design Standards'!C10</f>
        <v>Entire site</v>
      </c>
      <c r="F8" t="str">
        <f>'Design Standards'!D10</f>
        <v>Templates</v>
      </c>
      <c r="G8" t="str">
        <f>'Design Standards'!E10</f>
        <v>Design Utility Template: Contact Us</v>
      </c>
      <c r="H8" s="61">
        <f>IF('Design Standards'!F10="","",'Design Standards'!F10)</f>
        <v>46177</v>
      </c>
      <c r="I8" s="61">
        <f>IF('Design Standards'!G10="","",'Design Standards'!G10)</f>
        <v>46190</v>
      </c>
      <c r="J8">
        <f>'Design Standards'!H10</f>
        <v>10</v>
      </c>
      <c r="K8">
        <f>'Design Standards'!I10</f>
        <v>0.8</v>
      </c>
      <c r="L8" t="str">
        <f>'Design Standards'!J10</f>
        <v>High</v>
      </c>
      <c r="M8" t="str">
        <f>'Design Standards'!K10</f>
        <v>No</v>
      </c>
      <c r="N8" t="str">
        <f>'Design Standards'!L10</f>
        <v>We are simply consolidating the contact details into one page.</v>
      </c>
      <c r="O8" t="str">
        <f>'Design Standards'!M10</f>
        <v>In Progress</v>
      </c>
      <c r="P8" t="str">
        <f>'Design Standards'!N10</f>
        <v>The work has started for both desktop and mobile.</v>
      </c>
    </row>
    <row r="9" spans="1:16" x14ac:dyDescent="0.25">
      <c r="A9" t="str">
        <f>'Design Standards'!$B$1</f>
        <v>Design Standards</v>
      </c>
      <c r="B9" t="str">
        <f>'Design Standards'!$B$2</f>
        <v>Justin</v>
      </c>
      <c r="C9" t="str">
        <f>'Design Standards'!A11</f>
        <v>Public Web</v>
      </c>
      <c r="D9" t="str">
        <f>'Design Standards'!B11</f>
        <v>OMCOZA</v>
      </c>
      <c r="E9" t="str">
        <f>'Design Standards'!C11</f>
        <v>Personal</v>
      </c>
      <c r="F9" t="str">
        <f>'Design Standards'!D11</f>
        <v>Templates</v>
      </c>
      <c r="G9" t="str">
        <f>'Design Standards'!E11</f>
        <v>Design Utility Template: All Calculators</v>
      </c>
      <c r="H9" s="61">
        <f>IF('Design Standards'!F11="","",'Design Standards'!F11)</f>
        <v>46177</v>
      </c>
      <c r="I9" s="61">
        <f>IF('Design Standards'!G11="","",'Design Standards'!G11)</f>
        <v>46190</v>
      </c>
      <c r="J9">
        <f>'Design Standards'!H11</f>
        <v>10</v>
      </c>
      <c r="K9">
        <f>'Design Standards'!I11</f>
        <v>0.4</v>
      </c>
      <c r="L9" t="str">
        <f>'Design Standards'!J11</f>
        <v>High</v>
      </c>
      <c r="M9" t="str">
        <f>'Design Standards'!K11</f>
        <v>Yes</v>
      </c>
      <c r="N9" t="str">
        <f>'Design Standards'!L11</f>
        <v>There is alot of calculators that require alot of input across different product and business clusters.</v>
      </c>
      <c r="O9" t="str">
        <f>'Design Standards'!M11</f>
        <v>In Progress</v>
      </c>
      <c r="P9" t="str">
        <f>'Design Standards'!N11</f>
        <v>The work has started for both desktop and mobile.</v>
      </c>
    </row>
    <row r="10" spans="1:16" x14ac:dyDescent="0.25">
      <c r="A10" t="str">
        <f>'Design Standards'!$B$1</f>
        <v>Design Standards</v>
      </c>
      <c r="B10" t="str">
        <f>'Design Standards'!$B$2</f>
        <v>Justin</v>
      </c>
      <c r="C10" t="str">
        <f>'Design Standards'!A13</f>
        <v>Public Web</v>
      </c>
      <c r="D10" t="str">
        <f>'Design Standards'!B13</f>
        <v>OMCOZA</v>
      </c>
      <c r="E10" t="str">
        <f>'Design Standards'!C13</f>
        <v>Entire site</v>
      </c>
      <c r="F10" t="str">
        <f>'Design Standards'!D13</f>
        <v>Tenant</v>
      </c>
      <c r="G10" t="str">
        <f>'Design Standards'!E13</f>
        <v>Design Tenant Template</v>
      </c>
      <c r="H10" s="61">
        <f>IF('Design Standards'!F13="","",'Design Standards'!F13)</f>
        <v>46177</v>
      </c>
      <c r="I10" s="61">
        <f>IF('Design Standards'!G13="","",'Design Standards'!G13)</f>
        <v>46190</v>
      </c>
      <c r="J10">
        <f>'Design Standards'!H13</f>
        <v>10</v>
      </c>
      <c r="K10">
        <f>'Design Standards'!I13</f>
        <v>0.7</v>
      </c>
      <c r="L10" t="str">
        <f>'Design Standards'!J13</f>
        <v>High</v>
      </c>
      <c r="M10" t="str">
        <f>'Design Standards'!K13</f>
        <v>Yes</v>
      </c>
      <c r="N10" t="str">
        <f>'Design Standards'!L13</f>
        <v>This requires understanding of the tenants and what they need. So at the moment we can reference OM Bank and Rewards.</v>
      </c>
      <c r="O10" t="str">
        <f>'Design Standards'!M13</f>
        <v>In Progress</v>
      </c>
      <c r="P10">
        <f>'Design Standards'!N13</f>
        <v>0</v>
      </c>
    </row>
    <row r="11" spans="1:16" x14ac:dyDescent="0.25">
      <c r="A11" t="str">
        <f>'Design Standards'!$B$1</f>
        <v>Design Standards</v>
      </c>
      <c r="B11" t="str">
        <f>'Design Standards'!$B$2</f>
        <v>Justin</v>
      </c>
      <c r="C11" t="str">
        <f>'Design Standards'!A14</f>
        <v>Public Web</v>
      </c>
      <c r="D11" t="str">
        <f>'Design Standards'!B14</f>
        <v>OMCOZA</v>
      </c>
      <c r="E11" t="str">
        <f>'Design Standards'!C14</f>
        <v>Entire site</v>
      </c>
      <c r="F11" t="str">
        <f>'Design Standards'!D14</f>
        <v>Templates</v>
      </c>
      <c r="G11" t="str">
        <f>'Design Standards'!E14</f>
        <v>Design Utility Templates: About Us</v>
      </c>
      <c r="H11" s="61">
        <f>IF('Design Standards'!F14="","",'Design Standards'!F14)</f>
        <v>46191</v>
      </c>
      <c r="I11" s="61">
        <f>IF('Design Standards'!G14="","",'Design Standards'!G14)</f>
        <v>46204</v>
      </c>
      <c r="J11">
        <f>'Design Standards'!H14</f>
        <v>10</v>
      </c>
      <c r="K11">
        <f>'Design Standards'!I14</f>
        <v>0.6</v>
      </c>
      <c r="L11" t="str">
        <f>'Design Standards'!J14</f>
        <v>Medium</v>
      </c>
      <c r="M11" t="str">
        <f>'Design Standards'!K14</f>
        <v>No</v>
      </c>
      <c r="N11" t="str">
        <f>'Design Standards'!L14</f>
        <v>We are using existing content, we just need to consider how to consolidate the content.</v>
      </c>
      <c r="O11" t="str">
        <f>'Design Standards'!M14</f>
        <v>Not Started</v>
      </c>
      <c r="P11">
        <f>'Design Standards'!N14</f>
        <v>0</v>
      </c>
    </row>
    <row r="12" spans="1:16" x14ac:dyDescent="0.25">
      <c r="A12" t="str">
        <f>'Design Standards'!$B$1</f>
        <v>Design Standards</v>
      </c>
      <c r="B12" t="str">
        <f>'Design Standards'!$B$2</f>
        <v>Justin</v>
      </c>
      <c r="C12" t="str">
        <f>'Design Standards'!A15</f>
        <v>Public Web</v>
      </c>
      <c r="D12" t="str">
        <f>'Design Standards'!B15</f>
        <v>OMCOZA</v>
      </c>
      <c r="E12" t="str">
        <f>'Design Standards'!C15</f>
        <v>Entire site</v>
      </c>
      <c r="F12" t="str">
        <f>'Design Standards'!D15</f>
        <v>Templates</v>
      </c>
      <c r="G12" t="str">
        <f>'Design Standards'!E15</f>
        <v>Design Utility Template: Careers</v>
      </c>
      <c r="H12" s="61">
        <f>IF('Design Standards'!F15="","",'Design Standards'!F15)</f>
        <v>46191</v>
      </c>
      <c r="I12" s="61">
        <f>IF('Design Standards'!G15="","",'Design Standards'!G15)</f>
        <v>46204</v>
      </c>
      <c r="J12">
        <f>'Design Standards'!H15</f>
        <v>10</v>
      </c>
      <c r="K12">
        <f>'Design Standards'!I15</f>
        <v>0.4</v>
      </c>
      <c r="L12" t="str">
        <f>'Design Standards'!J15</f>
        <v>Medium</v>
      </c>
      <c r="M12" t="str">
        <f>'Design Standards'!K15</f>
        <v>Yes</v>
      </c>
      <c r="N12" t="str">
        <f>'Design Standards'!L15</f>
        <v>This may require input from HC but if we are migrating the content as is, then this could be a simple process.</v>
      </c>
      <c r="O12" t="str">
        <f>'Design Standards'!M15</f>
        <v>Not Started</v>
      </c>
      <c r="P12">
        <f>'Design Standards'!N15</f>
        <v>0</v>
      </c>
    </row>
    <row r="13" spans="1:16" x14ac:dyDescent="0.25">
      <c r="A13" t="str">
        <f>'Design Standards'!$B$1</f>
        <v>Design Standards</v>
      </c>
      <c r="B13" t="str">
        <f>'Design Standards'!$B$2</f>
        <v>Justin</v>
      </c>
      <c r="C13" t="str">
        <f>'Design Standards'!A16</f>
        <v>Secure Web</v>
      </c>
      <c r="D13" t="str">
        <f>'Design Standards'!B16</f>
        <v>MyOM</v>
      </c>
      <c r="E13" t="str">
        <f>'Design Standards'!C16</f>
        <v>Entire site</v>
      </c>
      <c r="F13" t="str">
        <f>'Design Standards'!D16</f>
        <v>Navigation</v>
      </c>
      <c r="G13" t="str">
        <f>'Design Standards'!E16</f>
        <v>Design navigation structure based on the IA</v>
      </c>
      <c r="H13" s="61">
        <f>IF('Design Standards'!F16="","",'Design Standards'!F16)</f>
        <v>46205</v>
      </c>
      <c r="I13" s="61">
        <f>IF('Design Standards'!G16="","",'Design Standards'!G16)</f>
        <v>46218</v>
      </c>
      <c r="J13">
        <f>'Design Standards'!H16</f>
        <v>10</v>
      </c>
      <c r="K13">
        <f>'Design Standards'!I16</f>
        <v>0.4</v>
      </c>
      <c r="L13" t="str">
        <f>'Design Standards'!J16</f>
        <v>High</v>
      </c>
      <c r="M13" t="str">
        <f>'Design Standards'!K16</f>
        <v>Yes</v>
      </c>
      <c r="N13" t="str">
        <f>'Design Standards'!L16</f>
        <v>Initial designs have been done, it requires further discussion of how the pieces need to fit.</v>
      </c>
      <c r="O13" t="str">
        <f>'Design Standards'!M16</f>
        <v>In Progress</v>
      </c>
      <c r="P13" t="str">
        <f>'Design Standards'!N16</f>
        <v>Initial designs has started.</v>
      </c>
    </row>
    <row r="14" spans="1:16" x14ac:dyDescent="0.25">
      <c r="A14" t="str">
        <f>'Design Standards'!$B$1</f>
        <v>Design Standards</v>
      </c>
      <c r="B14" t="str">
        <f>'Design Standards'!$B$2</f>
        <v>Justin</v>
      </c>
      <c r="C14" t="str">
        <f>'Design Standards'!A17</f>
        <v>Secure Web</v>
      </c>
      <c r="D14" t="str">
        <f>'Design Standards'!B17</f>
        <v>MyOM</v>
      </c>
      <c r="E14" t="str">
        <f>'Design Standards'!C17</f>
        <v>Entire site</v>
      </c>
      <c r="F14" t="str">
        <f>'Design Standards'!D17</f>
        <v>Navigation</v>
      </c>
      <c r="G14" t="str">
        <f>'Design Standards'!E17</f>
        <v>Design navigation solution to allow access to other secure sites</v>
      </c>
      <c r="H14" s="61">
        <f>IF('Design Standards'!F17="","",'Design Standards'!F17)</f>
        <v>46205</v>
      </c>
      <c r="I14" s="61">
        <f>IF('Design Standards'!G17="","",'Design Standards'!G17)</f>
        <v>46218</v>
      </c>
      <c r="J14">
        <f>'Design Standards'!H17</f>
        <v>10</v>
      </c>
      <c r="K14">
        <f>'Design Standards'!I17</f>
        <v>0.7</v>
      </c>
      <c r="L14" t="str">
        <f>'Design Standards'!J17</f>
        <v>High</v>
      </c>
      <c r="M14" t="str">
        <f>'Design Standards'!K17</f>
        <v>Yes</v>
      </c>
      <c r="N14">
        <f>'Design Standards'!L17</f>
        <v>0</v>
      </c>
      <c r="O14" t="str">
        <f>'Design Standards'!M17</f>
        <v>In Progress</v>
      </c>
      <c r="P14">
        <f>'Design Standards'!N17</f>
        <v>0</v>
      </c>
    </row>
    <row r="15" spans="1:16" x14ac:dyDescent="0.25">
      <c r="A15" t="str">
        <f>'Design Standards'!$B$1</f>
        <v>Design Standards</v>
      </c>
      <c r="B15" t="str">
        <f>'Design Standards'!$B$2</f>
        <v>Justin</v>
      </c>
      <c r="C15">
        <f>'Design Standards'!A18</f>
        <v>0</v>
      </c>
      <c r="D15" t="str">
        <f>'Design Standards'!B18</f>
        <v>Old Mutual Design Standards</v>
      </c>
      <c r="E15" t="str">
        <f>'Design Standards'!C18</f>
        <v>Generic</v>
      </c>
      <c r="F15" t="str">
        <f>'Design Standards'!D18</f>
        <v>Copy</v>
      </c>
      <c r="G15" t="str">
        <f>'Design Standards'!E18</f>
        <v>Finalise generic copy standards</v>
      </c>
      <c r="H15" s="61">
        <f>IF('Design Standards'!F18="","",'Design Standards'!F18)</f>
        <v>46177</v>
      </c>
      <c r="I15" s="61">
        <f>IF('Design Standards'!G18="","",'Design Standards'!G18)</f>
        <v>46190</v>
      </c>
      <c r="J15">
        <f>'Design Standards'!H18</f>
        <v>10</v>
      </c>
      <c r="K15">
        <f>'Design Standards'!I18</f>
        <v>0.8</v>
      </c>
      <c r="L15" t="str">
        <f>'Design Standards'!J18</f>
        <v>Critical</v>
      </c>
      <c r="M15" t="str">
        <f>'Design Standards'!K18</f>
        <v>Yes</v>
      </c>
      <c r="N15" t="str">
        <f>'Design Standards'!L18</f>
        <v>Alignment with Group Marketing</v>
      </c>
      <c r="O15" t="str">
        <f>'Design Standards'!M18</f>
        <v>Ready</v>
      </c>
      <c r="P15" t="str">
        <f>'Design Standards'!N18</f>
        <v>We are ready for sign off, it is aligned to brand and are requesting us to send to them for their records.</v>
      </c>
    </row>
    <row r="16" spans="1:16" x14ac:dyDescent="0.25">
      <c r="A16" t="str">
        <f>'Design Standards'!$B$1</f>
        <v>Design Standards</v>
      </c>
      <c r="B16" t="str">
        <f>'Design Standards'!$B$2</f>
        <v>Justin</v>
      </c>
      <c r="C16">
        <f>'Design Standards'!A19</f>
        <v>0</v>
      </c>
      <c r="D16" t="str">
        <f>'Design Standards'!B19</f>
        <v>Old Mutual Design Standards</v>
      </c>
      <c r="E16" t="str">
        <f>'Design Standards'!C19</f>
        <v>Generic</v>
      </c>
      <c r="F16" t="str">
        <f>'Design Standards'!D19</f>
        <v>Copy</v>
      </c>
      <c r="G16" t="str">
        <f>'Design Standards'!E19</f>
        <v>Finalise SEO + AIEO standards</v>
      </c>
      <c r="H16" s="61">
        <f>IF('Design Standards'!F19="","",'Design Standards'!F19)</f>
        <v>46177</v>
      </c>
      <c r="I16" s="61">
        <f>IF('Design Standards'!G19="","",'Design Standards'!G19)</f>
        <v>46190</v>
      </c>
      <c r="J16">
        <f>'Design Standards'!H19</f>
        <v>10</v>
      </c>
      <c r="K16">
        <f>'Design Standards'!I19</f>
        <v>0.8</v>
      </c>
      <c r="L16" t="str">
        <f>'Design Standards'!J19</f>
        <v>Critical</v>
      </c>
      <c r="M16" t="str">
        <f>'Design Standards'!K19</f>
        <v>Yes</v>
      </c>
      <c r="N16" t="str">
        <f>'Design Standards'!L19</f>
        <v>Alignment with Group Marketing</v>
      </c>
      <c r="O16" t="str">
        <f>'Design Standards'!M19</f>
        <v>Ready</v>
      </c>
      <c r="P16" t="str">
        <f>'Design Standards'!N19</f>
        <v>SEO is also in progress with their own standards, so our standards will be a living process and document</v>
      </c>
    </row>
    <row r="17" spans="1:16" x14ac:dyDescent="0.25">
      <c r="H17" s="61"/>
      <c r="I17" s="61"/>
    </row>
    <row r="18" spans="1:16" x14ac:dyDescent="0.25">
      <c r="H18" s="61"/>
      <c r="I18" s="61"/>
    </row>
    <row r="19" spans="1:16" x14ac:dyDescent="0.25">
      <c r="H19" s="61"/>
      <c r="I19" s="61"/>
    </row>
    <row r="20" spans="1:16" x14ac:dyDescent="0.25">
      <c r="H20" s="61"/>
      <c r="I20" s="61"/>
    </row>
    <row r="21" spans="1:16" x14ac:dyDescent="0.25">
      <c r="H21" s="61"/>
      <c r="I21" s="61"/>
    </row>
    <row r="22" spans="1:16" x14ac:dyDescent="0.25">
      <c r="H22" s="61"/>
      <c r="I22" s="61"/>
    </row>
    <row r="23" spans="1:16" x14ac:dyDescent="0.25">
      <c r="A23" t="str">
        <f>'Design Delivery'!$B$1</f>
        <v>Design Delivery</v>
      </c>
      <c r="B23">
        <f>'Design Delivery'!$B$2</f>
        <v>0</v>
      </c>
      <c r="C23" t="str">
        <f>'Design Delivery'!A12</f>
        <v>Public Web</v>
      </c>
      <c r="D23" t="str">
        <f>'Design Delivery'!B12</f>
        <v>OMCOZA</v>
      </c>
      <c r="E23" t="str">
        <f>'Design Delivery'!C12</f>
        <v>Personal</v>
      </c>
      <c r="F23" t="str">
        <f>'Design Delivery'!D12</f>
        <v>Personal Landing</v>
      </c>
      <c r="G23" t="str">
        <f>'Design Delivery'!E12</f>
        <v>Audience landing with enhanced copy</v>
      </c>
      <c r="H23">
        <f>'Design Delivery'!F12</f>
        <v>46209</v>
      </c>
      <c r="I23">
        <f>'Design Delivery'!G12</f>
        <v>46211</v>
      </c>
      <c r="J23">
        <f>'Design Delivery'!H12</f>
        <v>3</v>
      </c>
      <c r="K23">
        <f>'Design Delivery'!I12</f>
        <v>1</v>
      </c>
      <c r="L23" t="str">
        <f>'Design Delivery'!J12</f>
        <v>Critical</v>
      </c>
      <c r="M23" t="str">
        <f>'Design Delivery'!K12</f>
        <v>Yes</v>
      </c>
      <c r="N23" t="str">
        <f>'Design Delivery'!L12</f>
        <v xml:space="preserve">We need Stakeholder sessions in diaries already locked in for the July Start. Sign-off process defined. </v>
      </c>
      <c r="O23" t="str">
        <f>'Design Delivery'!M12</f>
        <v>In Progress</v>
      </c>
      <c r="P23">
        <f>'Design Delivery'!N12</f>
        <v>0</v>
      </c>
    </row>
    <row r="24" spans="1:16" x14ac:dyDescent="0.25">
      <c r="A24" t="str">
        <f>'Design Delivery'!$B$1</f>
        <v>Design Delivery</v>
      </c>
      <c r="B24">
        <f>'Design Delivery'!$B$2</f>
        <v>0</v>
      </c>
      <c r="C24" t="str">
        <f>'Design Delivery'!A13</f>
        <v>Public Web</v>
      </c>
      <c r="D24" t="str">
        <f>'Design Delivery'!B13</f>
        <v>OMCOZA</v>
      </c>
      <c r="E24" t="str">
        <f>'Design Delivery'!C13</f>
        <v>Personal</v>
      </c>
      <c r="F24" t="str">
        <f>'Design Delivery'!D13</f>
        <v xml:space="preserve">Invest </v>
      </c>
      <c r="G24" t="str">
        <f>'Design Delivery'!E13</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24">
        <f>'Design Delivery'!F13</f>
        <v>46209</v>
      </c>
      <c r="I24">
        <f>'Design Delivery'!G13</f>
        <v>46218</v>
      </c>
      <c r="J24">
        <f>'Design Delivery'!H13</f>
        <v>8</v>
      </c>
      <c r="K24">
        <f>'Design Delivery'!I13</f>
        <v>1</v>
      </c>
      <c r="L24" t="str">
        <f>'Design Delivery'!J13</f>
        <v>Critical</v>
      </c>
      <c r="M24" t="str">
        <f>'Design Delivery'!K13</f>
        <v>Yes</v>
      </c>
      <c r="N24" t="str">
        <f>'Design Delivery'!L13</f>
        <v xml:space="preserve">We need Stakeholder sessions in diaries already locked in for the July Start. Sign-off process defined. </v>
      </c>
      <c r="O24" t="str">
        <f>'Design Delivery'!M13</f>
        <v>in Progress</v>
      </c>
      <c r="P24">
        <f>'Design Delivery'!N13</f>
        <v>0</v>
      </c>
    </row>
    <row r="25" spans="1:16" x14ac:dyDescent="0.25">
      <c r="A25" t="str">
        <f>'Design Delivery'!$B$1</f>
        <v>Design Delivery</v>
      </c>
      <c r="B25">
        <f>'Design Delivery'!$B$2</f>
        <v>0</v>
      </c>
      <c r="C25" t="str">
        <f>'Design Delivery'!A14</f>
        <v>Public Web</v>
      </c>
      <c r="D25" t="str">
        <f>'Design Delivery'!B14</f>
        <v>OMCOZA</v>
      </c>
      <c r="E25" t="str">
        <f>'Design Delivery'!C14</f>
        <v>Personal</v>
      </c>
      <c r="F25" t="str">
        <f>'Design Delivery'!D14</f>
        <v xml:space="preserve">OM BAnk </v>
      </c>
      <c r="G25" t="str">
        <f>'Design Delivery'!E14</f>
        <v>L3+ IA finalisation
Section landing with enhanced copy
Product landing pages (5+) with enhanced copy</v>
      </c>
      <c r="H25">
        <f>'Design Delivery'!F14</f>
        <v>46219</v>
      </c>
      <c r="I25">
        <f>'Design Delivery'!G14</f>
        <v>46223</v>
      </c>
      <c r="J25">
        <f>'Design Delivery'!H14</f>
        <v>3</v>
      </c>
      <c r="K25">
        <f>'Design Delivery'!I14</f>
        <v>1</v>
      </c>
      <c r="L25" t="str">
        <f>'Design Delivery'!J14</f>
        <v>Critical</v>
      </c>
      <c r="M25" t="str">
        <f>'Design Delivery'!K14</f>
        <v>Yes</v>
      </c>
      <c r="N25" t="str">
        <f>'Design Delivery'!L14</f>
        <v xml:space="preserve">We need Stakeholder sessions in diaries already locked in for the July Start. Sign-off process defined. </v>
      </c>
      <c r="O25" t="str">
        <f>'Design Delivery'!M14</f>
        <v>In Progress</v>
      </c>
      <c r="P25">
        <f>'Design Delivery'!N14</f>
        <v>0</v>
      </c>
    </row>
    <row r="26" spans="1:16" x14ac:dyDescent="0.25">
      <c r="A26" t="str">
        <f>'Design Delivery'!$B$1</f>
        <v>Design Delivery</v>
      </c>
      <c r="B26">
        <f>'Design Delivery'!$B$2</f>
        <v>0</v>
      </c>
      <c r="C26" t="str">
        <f>'Design Delivery'!A15</f>
        <v>Public Web</v>
      </c>
      <c r="D26" t="str">
        <f>'Design Delivery'!B15</f>
        <v>OMCOZA</v>
      </c>
      <c r="E26" t="str">
        <f>'Design Delivery'!C15</f>
        <v>Personal</v>
      </c>
      <c r="F26" t="str">
        <f>'Design Delivery'!D15</f>
        <v>Insure</v>
      </c>
      <c r="G26" t="str">
        <f>'Design Delivery'!E15</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26">
        <f>'Design Delivery'!F15</f>
        <v>46224</v>
      </c>
      <c r="I26">
        <f>'Design Delivery'!G15</f>
        <v>46237</v>
      </c>
      <c r="J26">
        <f>'Design Delivery'!H15</f>
        <v>10</v>
      </c>
      <c r="K26">
        <f>'Design Delivery'!I15</f>
        <v>1</v>
      </c>
      <c r="L26" t="str">
        <f>'Design Delivery'!J15</f>
        <v>Critical</v>
      </c>
      <c r="M26" t="str">
        <f>'Design Delivery'!K15</f>
        <v>Yes</v>
      </c>
      <c r="N26" t="str">
        <f>'Design Delivery'!L15</f>
        <v xml:space="preserve">We need Stakeholder sessions in diaries already locked in for the July Start. Sign-off process defined. </v>
      </c>
      <c r="O26" t="str">
        <f>'Design Delivery'!M15</f>
        <v>In Progress</v>
      </c>
      <c r="P26">
        <f>'Design Delivery'!N15</f>
        <v>0</v>
      </c>
    </row>
    <row r="27" spans="1:16" x14ac:dyDescent="0.25">
      <c r="A27" t="str">
        <f>'Design Delivery'!$B$1</f>
        <v>Design Delivery</v>
      </c>
      <c r="B27">
        <f>'Design Delivery'!$B$2</f>
        <v>0</v>
      </c>
      <c r="C27" t="str">
        <f>'Design Delivery'!A16</f>
        <v>Public Web</v>
      </c>
      <c r="D27" t="str">
        <f>'Design Delivery'!B16</f>
        <v>OMCOZA</v>
      </c>
      <c r="E27" t="str">
        <f>'Design Delivery'!C16</f>
        <v>Personal</v>
      </c>
      <c r="F27" t="str">
        <f>'Design Delivery'!D16</f>
        <v>About us</v>
      </c>
      <c r="G27" t="str">
        <f>'Design Delivery'!E16</f>
        <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v>
      </c>
      <c r="H27">
        <f>'Design Delivery'!F16</f>
        <v>46238</v>
      </c>
      <c r="I27">
        <f>'Design Delivery'!G16</f>
        <v>46241</v>
      </c>
      <c r="J27">
        <f>'Design Delivery'!H16</f>
        <v>4</v>
      </c>
      <c r="K27">
        <f>'Design Delivery'!I16</f>
        <v>1</v>
      </c>
      <c r="L27" t="str">
        <f>'Design Delivery'!J16</f>
        <v>Critical</v>
      </c>
      <c r="M27" t="str">
        <f>'Design Delivery'!K16</f>
        <v>Yes</v>
      </c>
      <c r="N27" t="str">
        <f>'Design Delivery'!L16</f>
        <v xml:space="preserve">We need Stakeholder sessions in diaries already locked in for the July Start. Sign-off process defined. </v>
      </c>
      <c r="O27" t="str">
        <f>'Design Delivery'!M16</f>
        <v>In Progress</v>
      </c>
      <c r="P27">
        <f>'Design Delivery'!N16</f>
        <v>0</v>
      </c>
    </row>
    <row r="28" spans="1:16" x14ac:dyDescent="0.25">
      <c r="A28" t="str">
        <f>'Design Delivery'!$B$1</f>
        <v>Design Delivery</v>
      </c>
      <c r="B28">
        <f>'Design Delivery'!$B$2</f>
        <v>0</v>
      </c>
      <c r="C28" t="str">
        <f>'Design Delivery'!A17</f>
        <v>Public Web</v>
      </c>
      <c r="D28" t="str">
        <f>'Design Delivery'!B17</f>
        <v>OMCOZA</v>
      </c>
      <c r="E28" t="str">
        <f>'Design Delivery'!C17</f>
        <v>Personal</v>
      </c>
      <c r="F28" t="str">
        <f>'Design Delivery'!D17</f>
        <v>Careers</v>
      </c>
      <c r="G28" t="str">
        <f>'Design Delivery'!E17</f>
        <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v>
      </c>
      <c r="H28">
        <f>'Design Delivery'!F17</f>
        <v>46244</v>
      </c>
      <c r="I28">
        <f>'Design Delivery'!G17</f>
        <v>46247</v>
      </c>
      <c r="J28">
        <f>'Design Delivery'!H17</f>
        <v>4</v>
      </c>
      <c r="K28">
        <f>'Design Delivery'!I17</f>
        <v>1</v>
      </c>
      <c r="L28" t="str">
        <f>'Design Delivery'!J17</f>
        <v>Critical</v>
      </c>
      <c r="M28" t="str">
        <f>'Design Delivery'!K17</f>
        <v>Yes</v>
      </c>
      <c r="N28" t="str">
        <f>'Design Delivery'!L17</f>
        <v xml:space="preserve">We need Stakeholder sessions in diaries already locked in for the July Start. Sign-off process defined. </v>
      </c>
      <c r="O28" t="str">
        <f>'Design Delivery'!M17</f>
        <v>In Progress</v>
      </c>
      <c r="P28">
        <f>'Design Delivery'!N17</f>
        <v>0</v>
      </c>
    </row>
    <row r="29" spans="1:16" x14ac:dyDescent="0.25">
      <c r="A29" t="str">
        <f>'Design Delivery'!$B$1</f>
        <v>Design Delivery</v>
      </c>
      <c r="B29">
        <f>'Design Delivery'!$B$2</f>
        <v>0</v>
      </c>
      <c r="C29" t="str">
        <f>'Design Delivery'!A18</f>
        <v>Public Web</v>
      </c>
      <c r="D29" t="str">
        <f>'Design Delivery'!B18</f>
        <v>OMCOM</v>
      </c>
      <c r="E29" t="str">
        <f>'Design Delivery'!C18</f>
        <v>Entire site</v>
      </c>
      <c r="F29" t="str">
        <f>'Design Delivery'!D18</f>
        <v>Entire site</v>
      </c>
      <c r="G29" t="str">
        <f>'Design Delivery'!E18</f>
        <v>Mapping of new IA and Footer to sxisting site structure</v>
      </c>
      <c r="H29">
        <f>'Design Delivery'!F18</f>
        <v>46248</v>
      </c>
      <c r="I29">
        <f>'Design Delivery'!G18</f>
        <v>46251</v>
      </c>
      <c r="J29">
        <f>'Design Delivery'!H18</f>
        <v>2</v>
      </c>
      <c r="K29">
        <f>'Design Delivery'!I18</f>
        <v>1</v>
      </c>
      <c r="L29" t="str">
        <f>'Design Delivery'!J18</f>
        <v>Critical</v>
      </c>
      <c r="M29" t="str">
        <f>'Design Delivery'!K18</f>
        <v>Yes</v>
      </c>
      <c r="N29" t="str">
        <f>'Design Delivery'!L18</f>
        <v xml:space="preserve">We need Stakeholder sessions in diaries already locked in for the July Start. Sign-off process defined. </v>
      </c>
      <c r="O29" t="str">
        <f>'Design Delivery'!M18</f>
        <v>In Progress</v>
      </c>
      <c r="P29">
        <f>'Design Delivery'!N18</f>
        <v>0</v>
      </c>
    </row>
    <row r="30" spans="1:16" x14ac:dyDescent="0.25">
      <c r="A30" t="str">
        <f>'Design Delivery'!$B$1</f>
        <v>Design Delivery</v>
      </c>
      <c r="B30">
        <f>'Design Delivery'!$B$2</f>
        <v>0</v>
      </c>
      <c r="C30" t="str">
        <f>'Design Delivery'!A19</f>
        <v>Public Web</v>
      </c>
      <c r="D30" t="str">
        <f>'Design Delivery'!B19</f>
        <v>Bula Tsela</v>
      </c>
      <c r="E30" t="str">
        <f>'Design Delivery'!C19</f>
        <v>Entire site</v>
      </c>
      <c r="F30" t="str">
        <f>'Design Delivery'!D19</f>
        <v>Entire site</v>
      </c>
      <c r="G30" t="str">
        <f>'Design Delivery'!E19</f>
        <v>Mapping of new IA and Footer to sxisting site structure</v>
      </c>
      <c r="H30">
        <f>'Design Delivery'!F19</f>
        <v>46252</v>
      </c>
      <c r="I30">
        <f>'Design Delivery'!G19</f>
        <v>46253</v>
      </c>
      <c r="J30">
        <f>'Design Delivery'!H19</f>
        <v>2</v>
      </c>
      <c r="K30">
        <f>'Design Delivery'!I19</f>
        <v>1</v>
      </c>
      <c r="L30" t="str">
        <f>'Design Delivery'!J19</f>
        <v>Critical</v>
      </c>
      <c r="M30" t="str">
        <f>'Design Delivery'!K19</f>
        <v>Yes</v>
      </c>
      <c r="N30" t="str">
        <f>'Design Delivery'!L19</f>
        <v xml:space="preserve">We need Stakeholder sessions in diaries already locked in for the July Start. Sign-off process defined. </v>
      </c>
      <c r="O30" t="str">
        <f>'Design Delivery'!M19</f>
        <v>In Progress</v>
      </c>
      <c r="P30">
        <f>'Design Delivery'!N19</f>
        <v>0</v>
      </c>
    </row>
    <row r="31" spans="1:16" x14ac:dyDescent="0.25">
      <c r="A31" t="str">
        <f>'Design Delivery'!$B$1</f>
        <v>Design Delivery</v>
      </c>
      <c r="B31">
        <f>'Design Delivery'!$B$2</f>
        <v>0</v>
      </c>
      <c r="C31" t="str">
        <f>'Design Delivery'!A20</f>
        <v>Public Web</v>
      </c>
      <c r="D31" t="str">
        <f>'Design Delivery'!B20</f>
        <v>Learn Think Do (LTD)</v>
      </c>
      <c r="E31" t="str">
        <f>'Design Delivery'!C20</f>
        <v>Entire site</v>
      </c>
      <c r="F31" t="str">
        <f>'Design Delivery'!D20</f>
        <v>Entire site</v>
      </c>
      <c r="G31" t="str">
        <f>'Design Delivery'!E20</f>
        <v>Mapping of new IA and Footer to sxisting site structure</v>
      </c>
      <c r="H31">
        <f>'Design Delivery'!F20</f>
        <v>46254</v>
      </c>
      <c r="I31">
        <f>'Design Delivery'!G20</f>
        <v>46255</v>
      </c>
      <c r="J31">
        <f>'Design Delivery'!H20</f>
        <v>2</v>
      </c>
      <c r="K31">
        <f>'Design Delivery'!I20</f>
        <v>1</v>
      </c>
      <c r="L31" t="str">
        <f>'Design Delivery'!J20</f>
        <v>Critical</v>
      </c>
      <c r="M31" t="str">
        <f>'Design Delivery'!K20</f>
        <v>Yes</v>
      </c>
      <c r="N31" t="str">
        <f>'Design Delivery'!L20</f>
        <v xml:space="preserve">We need Stakeholder sessions in diaries already locked in for the July Start. Sign-off process defined. </v>
      </c>
      <c r="O31" t="str">
        <f>'Design Delivery'!M20</f>
        <v>In Progress</v>
      </c>
      <c r="P31">
        <f>'Design Delivery'!N20</f>
        <v>0</v>
      </c>
    </row>
    <row r="32" spans="1:16" x14ac:dyDescent="0.25">
      <c r="A32" t="str">
        <f>'Design Delivery'!$B$1</f>
        <v>Design Delivery</v>
      </c>
      <c r="B32">
        <f>'Design Delivery'!$B$2</f>
        <v>0</v>
      </c>
      <c r="C32" t="str">
        <f>'Design Delivery'!A22</f>
        <v>Public Web</v>
      </c>
      <c r="D32" t="str">
        <f>'Design Delivery'!B22</f>
        <v>OMCOZA</v>
      </c>
      <c r="E32" t="str">
        <f>'Design Delivery'!C22</f>
        <v>Wealth</v>
      </c>
      <c r="F32" t="str">
        <f>'Design Delivery'!D22</f>
        <v xml:space="preserve">Invest </v>
      </c>
      <c r="G32" t="str">
        <f>'Design Delivery'!E22</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32">
        <f>'Design Delivery'!F22</f>
        <v>46216</v>
      </c>
      <c r="I32">
        <f>'Design Delivery'!G22</f>
        <v>46234</v>
      </c>
      <c r="J32">
        <f>'Design Delivery'!H22</f>
        <v>15</v>
      </c>
      <c r="K32">
        <f>'Design Delivery'!I22</f>
        <v>0.7</v>
      </c>
      <c r="L32" t="str">
        <f>'Design Delivery'!J22</f>
        <v>Critical</v>
      </c>
      <c r="M32" t="str">
        <f>'Design Delivery'!K22</f>
        <v>Yes</v>
      </c>
      <c r="N32" t="str">
        <f>'Design Delivery'!L22</f>
        <v xml:space="preserve">We need Stakeholder sessions in diaries already locked in for the July Start. Sign-off process defined. </v>
      </c>
      <c r="O32" t="str">
        <f>'Design Delivery'!M22</f>
        <v>In Progress</v>
      </c>
      <c r="P32">
        <f>'Design Delivery'!N22</f>
        <v>0</v>
      </c>
    </row>
    <row r="33" spans="1:16" x14ac:dyDescent="0.25">
      <c r="A33" t="str">
        <f>'Design Delivery'!$B$1</f>
        <v>Design Delivery</v>
      </c>
      <c r="B33">
        <f>'Design Delivery'!$B$2</f>
        <v>0</v>
      </c>
      <c r="C33" t="str">
        <f>'Design Delivery'!A23</f>
        <v>Public Web</v>
      </c>
      <c r="D33" t="str">
        <f>'Design Delivery'!B23</f>
        <v>OMCOZA</v>
      </c>
      <c r="E33" t="str">
        <f>'Design Delivery'!C23</f>
        <v>Wealth</v>
      </c>
      <c r="F33" t="str">
        <f>'Design Delivery'!D23</f>
        <v>Plan</v>
      </c>
      <c r="G33" t="str">
        <f>'Design Delivery'!E23</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33">
        <f>'Design Delivery'!F23</f>
        <v>46237</v>
      </c>
      <c r="I33">
        <f>'Design Delivery'!G23</f>
        <v>46255</v>
      </c>
      <c r="J33">
        <f>'Design Delivery'!H23</f>
        <v>15</v>
      </c>
      <c r="K33">
        <f>'Design Delivery'!I23</f>
        <v>0.7</v>
      </c>
      <c r="L33" t="str">
        <f>'Design Delivery'!J23</f>
        <v>Critical</v>
      </c>
      <c r="M33" t="str">
        <f>'Design Delivery'!K23</f>
        <v>Yes</v>
      </c>
      <c r="N33" t="str">
        <f>'Design Delivery'!L23</f>
        <v xml:space="preserve">We need Stakeholder sessions in diaries already locked in for the July Start. Sign-off process defined. </v>
      </c>
      <c r="O33" t="str">
        <f>'Design Delivery'!M23</f>
        <v>In Progress</v>
      </c>
      <c r="P33">
        <f>'Design Delivery'!N23</f>
        <v>0</v>
      </c>
    </row>
    <row r="34" spans="1:16" x14ac:dyDescent="0.25">
      <c r="A34" t="str">
        <f>'Design Delivery'!$B$1</f>
        <v>Design Delivery</v>
      </c>
      <c r="B34">
        <f>'Design Delivery'!$B$2</f>
        <v>0</v>
      </c>
      <c r="C34" t="str">
        <f>'Design Delivery'!A24</f>
        <v>Public Web</v>
      </c>
      <c r="D34" t="str">
        <f>'Design Delivery'!B24</f>
        <v>OMCOZA</v>
      </c>
      <c r="E34" t="str">
        <f>'Design Delivery'!C24</f>
        <v>Wealth</v>
      </c>
      <c r="F34" t="str">
        <f>'Design Delivery'!D24</f>
        <v xml:space="preserve">About </v>
      </c>
      <c r="G34" t="str">
        <f>'Design Delivery'!E24</f>
        <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v>
      </c>
      <c r="H34">
        <f>'Design Delivery'!F24</f>
        <v>46258</v>
      </c>
      <c r="I34">
        <f>'Design Delivery'!G24</f>
        <v>46262</v>
      </c>
      <c r="J34">
        <f>'Design Delivery'!H24</f>
        <v>5</v>
      </c>
      <c r="K34">
        <f>'Design Delivery'!I24</f>
        <v>0.7</v>
      </c>
      <c r="L34" t="str">
        <f>'Design Delivery'!J24</f>
        <v>Critical</v>
      </c>
      <c r="M34" t="str">
        <f>'Design Delivery'!K24</f>
        <v>Yes</v>
      </c>
      <c r="N34" t="str">
        <f>'Design Delivery'!L24</f>
        <v xml:space="preserve">We need Stakeholder sessions in diaries already locked in for the July Start. Sign-off process defined. </v>
      </c>
      <c r="O34" t="str">
        <f>'Design Delivery'!M24</f>
        <v>In Progress</v>
      </c>
      <c r="P34">
        <f>'Design Delivery'!N24</f>
        <v>0</v>
      </c>
    </row>
    <row r="35" spans="1:16" x14ac:dyDescent="0.25">
      <c r="A35" t="str">
        <f>'Design Delivery'!$B$1</f>
        <v>Design Delivery</v>
      </c>
      <c r="B35">
        <f>'Design Delivery'!$B$2</f>
        <v>0</v>
      </c>
      <c r="C35" t="str">
        <f>'Design Delivery'!A25</f>
        <v>Public Web</v>
      </c>
      <c r="D35" t="str">
        <f>'Design Delivery'!B25</f>
        <v>OMCOZA</v>
      </c>
      <c r="E35" t="str">
        <f>'Design Delivery'!C25</f>
        <v>Wealth</v>
      </c>
      <c r="F35" t="str">
        <f>'Design Delivery'!D25</f>
        <v xml:space="preserve">Insights </v>
      </c>
      <c r="G35" t="str">
        <f>'Design Delivery'!E25</f>
        <v>L3+ IA finalisation
URL mapping (Current vs. New URL mapping (Current pages &gt; New IA pages). outlining consolidated sections and pages that will be removed in the new Information Architecture.
Section landing with enhanced copy
Category landing pages (3+) with enhanced copy
Product landing pages (3+) with enhanced copy</v>
      </c>
      <c r="H35">
        <f>'Design Delivery'!F25</f>
        <v>46265</v>
      </c>
      <c r="I35">
        <f>'Design Delivery'!G25</f>
        <v>46269</v>
      </c>
      <c r="J35">
        <f>'Design Delivery'!H25</f>
        <v>5</v>
      </c>
      <c r="K35">
        <f>'Design Delivery'!I25</f>
        <v>0.7</v>
      </c>
      <c r="L35" t="str">
        <f>'Design Delivery'!J25</f>
        <v>Critical</v>
      </c>
      <c r="M35" t="str">
        <f>'Design Delivery'!K25</f>
        <v>Yes</v>
      </c>
      <c r="N35" t="str">
        <f>'Design Delivery'!L25</f>
        <v xml:space="preserve">We need Stakeholder sessions in diaries already locked in for the July Start. Sign-off process defined. </v>
      </c>
      <c r="O35" t="str">
        <f>'Design Delivery'!M25</f>
        <v>In Progress</v>
      </c>
      <c r="P35">
        <f>'Design Delivery'!N25</f>
        <v>0</v>
      </c>
    </row>
    <row r="36" spans="1:16" x14ac:dyDescent="0.25">
      <c r="A36" t="str">
        <f>'Design Delivery'!$B$1</f>
        <v>Design Delivery</v>
      </c>
      <c r="B36">
        <f>'Design Delivery'!$B$2</f>
        <v>0</v>
      </c>
      <c r="C36" t="str">
        <f>'Design Delivery'!A27</f>
        <v>Public Web</v>
      </c>
      <c r="D36" t="str">
        <f>'Design Delivery'!B27</f>
        <v>OMCOZA</v>
      </c>
      <c r="E36" t="str">
        <f>'Design Delivery'!C27</f>
        <v>Corporate</v>
      </c>
      <c r="F36" t="str">
        <f>'Design Delivery'!D27</f>
        <v>Employees</v>
      </c>
      <c r="G36" t="str">
        <f>'Design Delivery'!E27</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36">
        <f>'Design Delivery'!F27</f>
        <v>46209</v>
      </c>
      <c r="I36">
        <f>'Design Delivery'!G27</f>
        <v>46218</v>
      </c>
      <c r="J36">
        <f>'Design Delivery'!H27</f>
        <v>8</v>
      </c>
      <c r="K36">
        <f>'Design Delivery'!I27</f>
        <v>1</v>
      </c>
      <c r="L36" t="str">
        <f>'Design Delivery'!J27</f>
        <v>Critical</v>
      </c>
      <c r="M36" t="str">
        <f>'Design Delivery'!K27</f>
        <v>Yes</v>
      </c>
      <c r="N36" t="str">
        <f>'Design Delivery'!L27</f>
        <v xml:space="preserve">We need Stakeholder sessions in diaries already locked in for the July Start. Sign-off process defined. </v>
      </c>
      <c r="O36" t="str">
        <f>'Design Delivery'!M27</f>
        <v>In Progress</v>
      </c>
      <c r="P36">
        <f>'Design Delivery'!N27</f>
        <v>0</v>
      </c>
    </row>
    <row r="37" spans="1:16" x14ac:dyDescent="0.25">
      <c r="A37" t="str">
        <f>'Design Delivery'!$B$1</f>
        <v>Design Delivery</v>
      </c>
      <c r="B37">
        <f>'Design Delivery'!$B$2</f>
        <v>0</v>
      </c>
      <c r="C37" t="str">
        <f>'Design Delivery'!A28</f>
        <v>Public Web</v>
      </c>
      <c r="D37" t="str">
        <f>'Design Delivery'!B28</f>
        <v>OMCOZA</v>
      </c>
      <c r="E37" t="str">
        <f>'Design Delivery'!C28</f>
        <v>Corporate</v>
      </c>
      <c r="F37" t="str">
        <f>'Design Delivery'!D28</f>
        <v>Employers</v>
      </c>
      <c r="G37" t="str">
        <f>'Design Delivery'!E28</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37">
        <f>'Design Delivery'!F28</f>
        <v>46219</v>
      </c>
      <c r="I37">
        <f>'Design Delivery'!G28</f>
        <v>46230</v>
      </c>
      <c r="J37">
        <f>'Design Delivery'!H28</f>
        <v>8</v>
      </c>
      <c r="K37">
        <f>'Design Delivery'!I28</f>
        <v>1</v>
      </c>
      <c r="L37" t="str">
        <f>'Design Delivery'!J28</f>
        <v>Critical</v>
      </c>
      <c r="M37" t="str">
        <f>'Design Delivery'!K28</f>
        <v>Yes</v>
      </c>
      <c r="N37" t="str">
        <f>'Design Delivery'!L28</f>
        <v xml:space="preserve">We need Stakeholder sessions in diaries already locked in for the July Start. Sign-off process defined. </v>
      </c>
      <c r="O37" t="str">
        <f>'Design Delivery'!M28</f>
        <v>In Progress</v>
      </c>
      <c r="P37">
        <f>'Design Delivery'!N28</f>
        <v>0</v>
      </c>
    </row>
    <row r="38" spans="1:16" x14ac:dyDescent="0.25">
      <c r="A38" t="str">
        <f>'Design Delivery'!$B$1</f>
        <v>Design Delivery</v>
      </c>
      <c r="B38">
        <f>'Design Delivery'!$B$2</f>
        <v>0</v>
      </c>
      <c r="C38" t="str">
        <f>'Design Delivery'!A29</f>
        <v>Public Web</v>
      </c>
      <c r="D38" t="str">
        <f>'Design Delivery'!B29</f>
        <v>OMCOZA</v>
      </c>
      <c r="E38" t="str">
        <f>'Design Delivery'!C29</f>
        <v>Corporate</v>
      </c>
      <c r="F38" t="str">
        <f>'Design Delivery'!D29</f>
        <v>Services</v>
      </c>
      <c r="G38" t="str">
        <f>'Design Delivery'!E29</f>
        <v>L3+ IA finalisation
URL mapping (Current vs. New URL mapping (Current pages &gt; New IA pages). outlining consolidated sections and pages that will be removed in the new Information Architecture.
Section landing with enhanced copy
Category landing pages (5+) with enhanced copy
Product landing pages (5+) with enhanced copy</v>
      </c>
      <c r="H38">
        <f>'Design Delivery'!F29</f>
        <v>46231</v>
      </c>
      <c r="I38">
        <f>'Design Delivery'!G29</f>
        <v>46240</v>
      </c>
      <c r="J38">
        <f>'Design Delivery'!H29</f>
        <v>8</v>
      </c>
      <c r="K38">
        <f>'Design Delivery'!I29</f>
        <v>1</v>
      </c>
      <c r="L38" t="str">
        <f>'Design Delivery'!J29</f>
        <v>Critical</v>
      </c>
      <c r="M38" t="str">
        <f>'Design Delivery'!K29</f>
        <v>Yes</v>
      </c>
      <c r="N38" t="str">
        <f>'Design Delivery'!L29</f>
        <v xml:space="preserve">We need Stakeholder sessions in diaries already locked in for the July Start. Sign-off process defined. </v>
      </c>
      <c r="O38" t="str">
        <f>'Design Delivery'!M29</f>
        <v>In Progress</v>
      </c>
      <c r="P38">
        <f>'Design Delivery'!N29</f>
        <v>0</v>
      </c>
    </row>
    <row r="39" spans="1:16" x14ac:dyDescent="0.25">
      <c r="H39" s="61"/>
      <c r="I39" s="61"/>
    </row>
    <row r="40" spans="1:16" x14ac:dyDescent="0.25">
      <c r="H40" s="61"/>
      <c r="I40" s="61"/>
    </row>
    <row r="41" spans="1:16" x14ac:dyDescent="0.25">
      <c r="H41" s="61"/>
      <c r="I41" s="61"/>
    </row>
    <row r="42" spans="1:16" x14ac:dyDescent="0.25">
      <c r="H42" s="61"/>
      <c r="I42" s="61"/>
    </row>
    <row r="43" spans="1:16" x14ac:dyDescent="0.25">
      <c r="H43" s="61"/>
      <c r="I43" s="61"/>
    </row>
    <row r="44" spans="1:16" x14ac:dyDescent="0.25">
      <c r="A44" t="str">
        <f>'Content Readiness'!$B$1</f>
        <v>Content Readiness</v>
      </c>
      <c r="B44" t="str">
        <f>'Content Readiness'!$B$2</f>
        <v>Natalie Patel</v>
      </c>
      <c r="C44" t="str">
        <f>'Content Readiness'!A4</f>
        <v>Public Web</v>
      </c>
      <c r="D44" t="str">
        <f>'Content Readiness'!B4</f>
        <v>OMCOZA</v>
      </c>
      <c r="E44" t="str">
        <f>'Content Readiness'!C4</f>
        <v>Personal</v>
      </c>
      <c r="F44" t="str">
        <f>'Content Readiness'!D4</f>
        <v>Retirement</v>
      </c>
      <c r="G44" t="str">
        <f>'Content Readiness'!E4</f>
        <v>Copy enhancement + link mapping dependent on design activities</v>
      </c>
      <c r="H44" s="61">
        <f>IF('Content Readiness'!F4="","",'Content Readiness'!F4)</f>
        <v>46177</v>
      </c>
      <c r="I44" s="61">
        <f>IF('Content Readiness'!G4="","",'Content Readiness'!G4)</f>
        <v>46181</v>
      </c>
      <c r="J44">
        <f>'Content Readiness'!H4</f>
        <v>3</v>
      </c>
      <c r="K44">
        <f>'Content Readiness'!I4</f>
        <v>0.8</v>
      </c>
      <c r="L44" t="str">
        <f>'Content Readiness'!J4</f>
        <v>Critical</v>
      </c>
      <c r="M44" t="str">
        <f>'Content Readiness'!K4</f>
        <v>Yes</v>
      </c>
      <c r="N44" t="str">
        <f>'Content Readiness'!L4</f>
        <v>Design readiness</v>
      </c>
      <c r="O44" t="str">
        <f>'Content Readiness'!M4</f>
        <v>In Progress</v>
      </c>
      <c r="P44">
        <f>'Content Readiness'!N4</f>
        <v>0</v>
      </c>
    </row>
    <row r="45" spans="1:16" x14ac:dyDescent="0.25">
      <c r="A45" t="str">
        <f>'Content Readiness'!$B$1</f>
        <v>Content Readiness</v>
      </c>
      <c r="B45" t="str">
        <f>'Content Readiness'!$B$2</f>
        <v>Natalie Patel</v>
      </c>
      <c r="C45" t="str">
        <f>'Content Readiness'!A5</f>
        <v>Public Web</v>
      </c>
      <c r="D45" t="str">
        <f>'Content Readiness'!B5</f>
        <v>OMCOZA</v>
      </c>
      <c r="E45" t="str">
        <f>'Content Readiness'!C5</f>
        <v>Personal</v>
      </c>
      <c r="F45" t="str">
        <f>'Content Readiness'!D5</f>
        <v>Funeral</v>
      </c>
      <c r="G45" t="str">
        <f>'Content Readiness'!E5</f>
        <v>Copy enhancement + link mapping dependent on design activities</v>
      </c>
      <c r="H45" s="61">
        <f>IF('Content Readiness'!F5="","",'Content Readiness'!F5)</f>
        <v>46183</v>
      </c>
      <c r="I45" s="61">
        <f>IF('Content Readiness'!G5="","",'Content Readiness'!G5)</f>
        <v>46188</v>
      </c>
      <c r="J45">
        <f>'Content Readiness'!H5</f>
        <v>4</v>
      </c>
      <c r="K45">
        <f>'Content Readiness'!I5</f>
        <v>0.8</v>
      </c>
      <c r="L45" t="str">
        <f>'Content Readiness'!J5</f>
        <v>Critical</v>
      </c>
      <c r="M45" t="str">
        <f>'Content Readiness'!K5</f>
        <v>Yes</v>
      </c>
      <c r="N45" t="str">
        <f>'Content Readiness'!L5</f>
        <v>Design readiness</v>
      </c>
      <c r="O45" t="str">
        <f>'Content Readiness'!M5</f>
        <v>In Progress</v>
      </c>
      <c r="P45">
        <f>'Content Readiness'!N5</f>
        <v>0</v>
      </c>
    </row>
    <row r="46" spans="1:16" x14ac:dyDescent="0.25">
      <c r="A46" t="str">
        <f>'Content Readiness'!$B$1</f>
        <v>Content Readiness</v>
      </c>
      <c r="B46" t="str">
        <f>'Content Readiness'!$B$2</f>
        <v>Natalie Patel</v>
      </c>
      <c r="C46" t="str">
        <f>'Content Readiness'!A6</f>
        <v>Public Web</v>
      </c>
      <c r="D46" t="str">
        <f>'Content Readiness'!B6</f>
        <v>OMCOZA</v>
      </c>
      <c r="E46" t="str">
        <f>'Content Readiness'!C6</f>
        <v>Personal</v>
      </c>
      <c r="F46" t="str">
        <f>'Content Readiness'!D6</f>
        <v>Invest Flexi Save</v>
      </c>
      <c r="G46" t="str">
        <f>'Content Readiness'!E6</f>
        <v>Copy enhancement + link mapping dependent on design activities</v>
      </c>
      <c r="H46" s="61">
        <f>IF('Content Readiness'!F6="","",'Content Readiness'!F6)</f>
        <v>46189</v>
      </c>
      <c r="I46" s="61">
        <f>IF('Content Readiness'!G6="","",'Content Readiness'!G6)</f>
        <v>46190</v>
      </c>
      <c r="J46">
        <f>'Content Readiness'!H6</f>
        <v>2</v>
      </c>
      <c r="K46">
        <f>'Content Readiness'!I6</f>
        <v>0.8</v>
      </c>
      <c r="L46" t="str">
        <f>'Content Readiness'!J6</f>
        <v>Critical</v>
      </c>
      <c r="M46" t="str">
        <f>'Content Readiness'!K6</f>
        <v>Yes</v>
      </c>
      <c r="N46" t="str">
        <f>'Content Readiness'!L6</f>
        <v>Design readiness</v>
      </c>
      <c r="O46" t="str">
        <f>'Content Readiness'!M6</f>
        <v>In Progress</v>
      </c>
      <c r="P46">
        <f>'Content Readiness'!N6</f>
        <v>0</v>
      </c>
    </row>
    <row r="47" spans="1:16" x14ac:dyDescent="0.25">
      <c r="A47" t="str">
        <f>'Content Readiness'!$B$1</f>
        <v>Content Readiness</v>
      </c>
      <c r="B47" t="str">
        <f>'Content Readiness'!$B$2</f>
        <v>Natalie Patel</v>
      </c>
      <c r="C47" t="str">
        <f>'Content Readiness'!A7</f>
        <v>Public Web</v>
      </c>
      <c r="D47" t="str">
        <f>'Content Readiness'!B7</f>
        <v>OMCOZA</v>
      </c>
      <c r="E47" t="str">
        <f>'Content Readiness'!C7</f>
        <v>Personal</v>
      </c>
      <c r="F47" t="str">
        <f>'Content Readiness'!D7</f>
        <v>Personal landing page</v>
      </c>
      <c r="G47" t="str">
        <f>'Content Readiness'!E7</f>
        <v>Copy enhancement + link mapping dependent on design activities</v>
      </c>
      <c r="H47" s="61">
        <f>IF('Content Readiness'!F7="","",'Content Readiness'!F7)</f>
        <v>46209</v>
      </c>
      <c r="I47" s="61">
        <f>IF('Content Readiness'!G7="","",'Content Readiness'!G7)</f>
        <v>46211</v>
      </c>
      <c r="J47">
        <f>'Content Readiness'!H7</f>
        <v>3</v>
      </c>
      <c r="K47">
        <f>'Content Readiness'!I7</f>
        <v>1</v>
      </c>
      <c r="L47" t="str">
        <f>'Content Readiness'!J7</f>
        <v>Critical</v>
      </c>
      <c r="M47" t="str">
        <f>'Content Readiness'!K7</f>
        <v>Yes</v>
      </c>
      <c r="N47" t="str">
        <f>'Content Readiness'!L7</f>
        <v>Design readiness</v>
      </c>
      <c r="O47" t="str">
        <f>'Content Readiness'!M7</f>
        <v>In Progress</v>
      </c>
      <c r="P47">
        <f>'Content Readiness'!N7</f>
        <v>0</v>
      </c>
    </row>
    <row r="48" spans="1:16" x14ac:dyDescent="0.25">
      <c r="A48" t="str">
        <f>'Content Readiness'!$B$1</f>
        <v>Content Readiness</v>
      </c>
      <c r="B48" t="str">
        <f>'Content Readiness'!$B$2</f>
        <v>Natalie Patel</v>
      </c>
      <c r="C48" t="str">
        <f>'Content Readiness'!A8</f>
        <v>Public Web</v>
      </c>
      <c r="D48" t="str">
        <f>'Content Readiness'!B8</f>
        <v>OMCOZA</v>
      </c>
      <c r="E48">
        <f>'Content Readiness'!C8</f>
        <v>0</v>
      </c>
      <c r="F48">
        <f>'Content Readiness'!D8</f>
        <v>0</v>
      </c>
      <c r="G48">
        <f>'Content Readiness'!E8</f>
        <v>0</v>
      </c>
      <c r="H48" s="61" t="str">
        <f>IF('Content Readiness'!F8="","",'Content Readiness'!F8)</f>
        <v/>
      </c>
      <c r="I48" s="61" t="str">
        <f>IF('Content Readiness'!G8="","",'Content Readiness'!G8)</f>
        <v/>
      </c>
      <c r="J48">
        <f>'Content Readiness'!H8</f>
        <v>0</v>
      </c>
      <c r="K48">
        <f>'Content Readiness'!I8</f>
        <v>0</v>
      </c>
      <c r="L48">
        <f>'Content Readiness'!J8</f>
        <v>0</v>
      </c>
      <c r="M48">
        <f>'Content Readiness'!K8</f>
        <v>0</v>
      </c>
      <c r="N48">
        <f>'Content Readiness'!L8</f>
        <v>0</v>
      </c>
      <c r="O48">
        <f>'Content Readiness'!M8</f>
        <v>0</v>
      </c>
      <c r="P48">
        <f>'Content Readiness'!N8</f>
        <v>0</v>
      </c>
    </row>
    <row r="49" spans="1:16" x14ac:dyDescent="0.25">
      <c r="A49" t="str">
        <f>'Content Readiness'!$B$1</f>
        <v>Content Readiness</v>
      </c>
      <c r="B49" t="str">
        <f>'Content Readiness'!$B$2</f>
        <v>Natalie Patel</v>
      </c>
      <c r="C49" t="str">
        <f>'Content Readiness'!A9</f>
        <v>Public Web</v>
      </c>
      <c r="D49" t="str">
        <f>'Content Readiness'!B9</f>
        <v>OMCOZA</v>
      </c>
      <c r="E49">
        <f>'Content Readiness'!C9</f>
        <v>0</v>
      </c>
      <c r="F49">
        <f>'Content Readiness'!D9</f>
        <v>0</v>
      </c>
      <c r="G49">
        <f>'Content Readiness'!E9</f>
        <v>0</v>
      </c>
      <c r="H49" s="61" t="str">
        <f>IF('Content Readiness'!F9="","",'Content Readiness'!F9)</f>
        <v/>
      </c>
      <c r="I49" s="61" t="str">
        <f>IF('Content Readiness'!G9="","",'Content Readiness'!G9)</f>
        <v/>
      </c>
      <c r="J49">
        <f>'Content Readiness'!H9</f>
        <v>0</v>
      </c>
      <c r="K49">
        <f>'Content Readiness'!I9</f>
        <v>0</v>
      </c>
      <c r="L49">
        <f>'Content Readiness'!J9</f>
        <v>0</v>
      </c>
      <c r="M49">
        <f>'Content Readiness'!K9</f>
        <v>0</v>
      </c>
      <c r="N49">
        <f>'Content Readiness'!L9</f>
        <v>0</v>
      </c>
      <c r="O49">
        <f>'Content Readiness'!M9</f>
        <v>0</v>
      </c>
      <c r="P49">
        <f>'Content Readiness'!N9</f>
        <v>0</v>
      </c>
    </row>
    <row r="50" spans="1:16" x14ac:dyDescent="0.25">
      <c r="A50" t="str">
        <f>'Content Readiness'!$B$1</f>
        <v>Content Readiness</v>
      </c>
      <c r="B50" t="str">
        <f>'Content Readiness'!$B$2</f>
        <v>Natalie Patel</v>
      </c>
      <c r="C50" t="str">
        <f>'Content Readiness'!A10</f>
        <v>Public Web</v>
      </c>
      <c r="D50" t="str">
        <f>'Content Readiness'!B10</f>
        <v>OMCOZA</v>
      </c>
      <c r="E50">
        <f>'Content Readiness'!C10</f>
        <v>0</v>
      </c>
      <c r="F50">
        <f>'Content Readiness'!D10</f>
        <v>0</v>
      </c>
      <c r="G50">
        <f>'Content Readiness'!E10</f>
        <v>0</v>
      </c>
      <c r="H50" s="61" t="str">
        <f>IF('Content Readiness'!F10="","",'Content Readiness'!F10)</f>
        <v/>
      </c>
      <c r="I50" s="61" t="str">
        <f>IF('Content Readiness'!G10="","",'Content Readiness'!G10)</f>
        <v/>
      </c>
      <c r="J50">
        <f>'Content Readiness'!H10</f>
        <v>0</v>
      </c>
      <c r="K50">
        <f>'Content Readiness'!I10</f>
        <v>0</v>
      </c>
      <c r="L50">
        <f>'Content Readiness'!J10</f>
        <v>0</v>
      </c>
      <c r="M50">
        <f>'Content Readiness'!K10</f>
        <v>0</v>
      </c>
      <c r="N50">
        <f>'Content Readiness'!L10</f>
        <v>0</v>
      </c>
      <c r="O50">
        <f>'Content Readiness'!M10</f>
        <v>0</v>
      </c>
      <c r="P50">
        <f>'Content Readiness'!N10</f>
        <v>0</v>
      </c>
    </row>
    <row r="51" spans="1:16" x14ac:dyDescent="0.25">
      <c r="A51" t="str">
        <f>'Content Readiness'!$B$1</f>
        <v>Content Readiness</v>
      </c>
      <c r="B51" t="str">
        <f>'Content Readiness'!$B$2</f>
        <v>Natalie Patel</v>
      </c>
      <c r="C51" t="str">
        <f>'Content Readiness'!A11</f>
        <v>Public Web</v>
      </c>
      <c r="D51" t="str">
        <f>'Content Readiness'!B11</f>
        <v>OMCOZA</v>
      </c>
      <c r="E51">
        <f>'Content Readiness'!C11</f>
        <v>0</v>
      </c>
      <c r="F51">
        <f>'Content Readiness'!D11</f>
        <v>0</v>
      </c>
      <c r="G51">
        <f>'Content Readiness'!E11</f>
        <v>0</v>
      </c>
      <c r="H51" s="61" t="str">
        <f>IF('Content Readiness'!F11="","",'Content Readiness'!F11)</f>
        <v/>
      </c>
      <c r="I51" s="61" t="str">
        <f>IF('Content Readiness'!G11="","",'Content Readiness'!G11)</f>
        <v/>
      </c>
      <c r="J51">
        <f>'Content Readiness'!H11</f>
        <v>0</v>
      </c>
      <c r="K51">
        <f>'Content Readiness'!I11</f>
        <v>0</v>
      </c>
      <c r="L51">
        <f>'Content Readiness'!J11</f>
        <v>0</v>
      </c>
      <c r="M51">
        <f>'Content Readiness'!K11</f>
        <v>0</v>
      </c>
      <c r="N51">
        <f>'Content Readiness'!L11</f>
        <v>0</v>
      </c>
      <c r="O51">
        <f>'Content Readiness'!M11</f>
        <v>0</v>
      </c>
      <c r="P51">
        <f>'Content Readiness'!N11</f>
        <v>0</v>
      </c>
    </row>
    <row r="52" spans="1:16" x14ac:dyDescent="0.25">
      <c r="A52" t="str">
        <f>'Content Readiness'!$B$1</f>
        <v>Content Readiness</v>
      </c>
      <c r="B52" t="str">
        <f>'Content Readiness'!$B$2</f>
        <v>Natalie Patel</v>
      </c>
      <c r="C52" t="str">
        <f>'Content Readiness'!A12</f>
        <v>Public Web</v>
      </c>
      <c r="D52" t="str">
        <f>'Content Readiness'!B12</f>
        <v>OMCOZA</v>
      </c>
      <c r="E52">
        <f>'Content Readiness'!C12</f>
        <v>0</v>
      </c>
      <c r="F52">
        <f>'Content Readiness'!D12</f>
        <v>0</v>
      </c>
      <c r="G52">
        <f>'Content Readiness'!E12</f>
        <v>0</v>
      </c>
      <c r="H52" s="61" t="str">
        <f>IF('Content Readiness'!F12="","",'Content Readiness'!F12)</f>
        <v/>
      </c>
      <c r="I52" s="61" t="str">
        <f>IF('Content Readiness'!G12="","",'Content Readiness'!G12)</f>
        <v/>
      </c>
      <c r="J52">
        <f>'Content Readiness'!H12</f>
        <v>0</v>
      </c>
      <c r="K52">
        <f>'Content Readiness'!I12</f>
        <v>0</v>
      </c>
      <c r="L52">
        <f>'Content Readiness'!J12</f>
        <v>0</v>
      </c>
      <c r="M52">
        <f>'Content Readiness'!K12</f>
        <v>0</v>
      </c>
      <c r="N52">
        <f>'Content Readiness'!L12</f>
        <v>0</v>
      </c>
      <c r="O52">
        <f>'Content Readiness'!M12</f>
        <v>0</v>
      </c>
      <c r="P52">
        <f>'Content Readiness'!N12</f>
        <v>0</v>
      </c>
    </row>
    <row r="53" spans="1:16" x14ac:dyDescent="0.25">
      <c r="A53" t="str">
        <f>'Content Readiness'!$B$1</f>
        <v>Content Readiness</v>
      </c>
      <c r="B53" t="str">
        <f>'Content Readiness'!$B$2</f>
        <v>Natalie Patel</v>
      </c>
      <c r="C53" t="str">
        <f>'Content Readiness'!A13</f>
        <v>Public Web</v>
      </c>
      <c r="D53" t="str">
        <f>'Content Readiness'!B13</f>
        <v>OMCOZA</v>
      </c>
      <c r="E53">
        <f>'Content Readiness'!C13</f>
        <v>0</v>
      </c>
      <c r="F53">
        <f>'Content Readiness'!D13</f>
        <v>0</v>
      </c>
      <c r="G53">
        <f>'Content Readiness'!E13</f>
        <v>0</v>
      </c>
      <c r="H53" s="61" t="str">
        <f>IF('Content Readiness'!F13="","",'Content Readiness'!F13)</f>
        <v/>
      </c>
      <c r="I53" s="61" t="str">
        <f>IF('Content Readiness'!G13="","",'Content Readiness'!G13)</f>
        <v/>
      </c>
      <c r="J53">
        <f>'Content Readiness'!H13</f>
        <v>0</v>
      </c>
      <c r="K53">
        <f>'Content Readiness'!I13</f>
        <v>0</v>
      </c>
      <c r="L53">
        <f>'Content Readiness'!J13</f>
        <v>0</v>
      </c>
      <c r="M53">
        <f>'Content Readiness'!K13</f>
        <v>0</v>
      </c>
      <c r="N53">
        <f>'Content Readiness'!L13</f>
        <v>0</v>
      </c>
      <c r="O53">
        <f>'Content Readiness'!M13</f>
        <v>0</v>
      </c>
      <c r="P53">
        <f>'Content Readiness'!N13</f>
        <v>0</v>
      </c>
    </row>
    <row r="54" spans="1:16" x14ac:dyDescent="0.25">
      <c r="A54" t="str">
        <f>'Content Readiness'!$B$1</f>
        <v>Content Readiness</v>
      </c>
      <c r="B54" t="str">
        <f>'Content Readiness'!$B$2</f>
        <v>Natalie Patel</v>
      </c>
      <c r="C54">
        <f>'Content Readiness'!A14</f>
        <v>0</v>
      </c>
      <c r="D54">
        <f>'Content Readiness'!B14</f>
        <v>0</v>
      </c>
      <c r="E54">
        <f>'Content Readiness'!C14</f>
        <v>0</v>
      </c>
      <c r="F54">
        <f>'Content Readiness'!D14</f>
        <v>0</v>
      </c>
      <c r="G54">
        <f>'Content Readiness'!E14</f>
        <v>0</v>
      </c>
      <c r="H54" s="61" t="str">
        <f>IF('Content Readiness'!F14="","",'Content Readiness'!F14)</f>
        <v/>
      </c>
      <c r="I54" s="61" t="str">
        <f>IF('Content Readiness'!G14="","",'Content Readiness'!G14)</f>
        <v/>
      </c>
      <c r="J54">
        <f>'Content Readiness'!H14</f>
        <v>0</v>
      </c>
      <c r="K54">
        <f>'Content Readiness'!I14</f>
        <v>0</v>
      </c>
      <c r="L54">
        <f>'Content Readiness'!J14</f>
        <v>0</v>
      </c>
      <c r="M54">
        <f>'Content Readiness'!K14</f>
        <v>0</v>
      </c>
      <c r="N54">
        <f>'Content Readiness'!L14</f>
        <v>0</v>
      </c>
      <c r="O54">
        <f>'Content Readiness'!M14</f>
        <v>0</v>
      </c>
      <c r="P54">
        <f>'Content Readiness'!N14</f>
        <v>0</v>
      </c>
    </row>
    <row r="55" spans="1:16" x14ac:dyDescent="0.25">
      <c r="A55" t="str">
        <f>'Content Readiness'!$B$1</f>
        <v>Content Readiness</v>
      </c>
      <c r="B55" t="str">
        <f>'Content Readiness'!$B$2</f>
        <v>Natalie Patel</v>
      </c>
      <c r="C55">
        <f>'Content Readiness'!A15</f>
        <v>0</v>
      </c>
      <c r="D55">
        <f>'Content Readiness'!B15</f>
        <v>0</v>
      </c>
      <c r="E55">
        <f>'Content Readiness'!C15</f>
        <v>0</v>
      </c>
      <c r="F55">
        <f>'Content Readiness'!D15</f>
        <v>0</v>
      </c>
      <c r="G55">
        <f>'Content Readiness'!E15</f>
        <v>0</v>
      </c>
      <c r="H55" s="61" t="str">
        <f>IF('Content Readiness'!F15="","",'Content Readiness'!F15)</f>
        <v/>
      </c>
      <c r="I55" s="61" t="str">
        <f>IF('Content Readiness'!G15="","",'Content Readiness'!G15)</f>
        <v/>
      </c>
      <c r="J55">
        <f>'Content Readiness'!H15</f>
        <v>0</v>
      </c>
      <c r="K55">
        <f>'Content Readiness'!I15</f>
        <v>0</v>
      </c>
      <c r="L55">
        <f>'Content Readiness'!J15</f>
        <v>0</v>
      </c>
      <c r="M55">
        <f>'Content Readiness'!K15</f>
        <v>0</v>
      </c>
      <c r="N55">
        <f>'Content Readiness'!L15</f>
        <v>0</v>
      </c>
      <c r="O55">
        <f>'Content Readiness'!M15</f>
        <v>0</v>
      </c>
      <c r="P55">
        <f>'Content Readiness'!N15</f>
        <v>0</v>
      </c>
    </row>
    <row r="56" spans="1:16" x14ac:dyDescent="0.25">
      <c r="A56" t="str">
        <f>'Content Readiness'!$B$1</f>
        <v>Content Readiness</v>
      </c>
      <c r="B56" t="str">
        <f>'Content Readiness'!$B$2</f>
        <v>Natalie Patel</v>
      </c>
      <c r="C56">
        <f>'Content Readiness'!A16</f>
        <v>0</v>
      </c>
      <c r="D56">
        <f>'Content Readiness'!B16</f>
        <v>0</v>
      </c>
      <c r="E56">
        <f>'Content Readiness'!C16</f>
        <v>0</v>
      </c>
      <c r="F56">
        <f>'Content Readiness'!D16</f>
        <v>0</v>
      </c>
      <c r="G56">
        <f>'Content Readiness'!E16</f>
        <v>0</v>
      </c>
      <c r="H56" s="61" t="str">
        <f>IF('Content Readiness'!F16="","",'Content Readiness'!F16)</f>
        <v/>
      </c>
      <c r="I56" s="61" t="str">
        <f>IF('Content Readiness'!G16="","",'Content Readiness'!G16)</f>
        <v/>
      </c>
      <c r="J56">
        <f>'Content Readiness'!H16</f>
        <v>0</v>
      </c>
      <c r="K56">
        <f>'Content Readiness'!I16</f>
        <v>0</v>
      </c>
      <c r="L56">
        <f>'Content Readiness'!J16</f>
        <v>0</v>
      </c>
      <c r="M56">
        <f>'Content Readiness'!K16</f>
        <v>0</v>
      </c>
      <c r="N56">
        <f>'Content Readiness'!L16</f>
        <v>0</v>
      </c>
      <c r="O56">
        <f>'Content Readiness'!M16</f>
        <v>0</v>
      </c>
      <c r="P56">
        <f>'Content Readiness'!N16</f>
        <v>0</v>
      </c>
    </row>
    <row r="57" spans="1:16" x14ac:dyDescent="0.25">
      <c r="A57" t="str">
        <f>'Content Readiness'!$B$1</f>
        <v>Content Readiness</v>
      </c>
      <c r="B57" t="str">
        <f>'Content Readiness'!$B$2</f>
        <v>Natalie Patel</v>
      </c>
      <c r="C57">
        <f>'Content Readiness'!A17</f>
        <v>0</v>
      </c>
      <c r="D57">
        <f>'Content Readiness'!B17</f>
        <v>0</v>
      </c>
      <c r="E57">
        <f>'Content Readiness'!C17</f>
        <v>0</v>
      </c>
      <c r="F57">
        <f>'Content Readiness'!D17</f>
        <v>0</v>
      </c>
      <c r="G57">
        <f>'Content Readiness'!E17</f>
        <v>0</v>
      </c>
      <c r="H57" s="61" t="str">
        <f>IF('Content Readiness'!F17="","",'Content Readiness'!F17)</f>
        <v/>
      </c>
      <c r="I57" s="61" t="str">
        <f>IF('Content Readiness'!G17="","",'Content Readiness'!G17)</f>
        <v/>
      </c>
      <c r="J57">
        <f>'Content Readiness'!H17</f>
        <v>0</v>
      </c>
      <c r="K57">
        <f>'Content Readiness'!I17</f>
        <v>0</v>
      </c>
      <c r="L57">
        <f>'Content Readiness'!J17</f>
        <v>0</v>
      </c>
      <c r="M57">
        <f>'Content Readiness'!K17</f>
        <v>0</v>
      </c>
      <c r="N57">
        <f>'Content Readiness'!L17</f>
        <v>0</v>
      </c>
      <c r="O57">
        <f>'Content Readiness'!M17</f>
        <v>0</v>
      </c>
      <c r="P57">
        <f>'Content Readiness'!N17</f>
        <v>0</v>
      </c>
    </row>
    <row r="58" spans="1:16" x14ac:dyDescent="0.25">
      <c r="A58" t="str">
        <f>'Content Readiness'!$B$1</f>
        <v>Content Readiness</v>
      </c>
      <c r="B58" t="str">
        <f>'Content Readiness'!$B$2</f>
        <v>Natalie Patel</v>
      </c>
      <c r="C58">
        <f>'Content Readiness'!A18</f>
        <v>0</v>
      </c>
      <c r="D58">
        <f>'Content Readiness'!B18</f>
        <v>0</v>
      </c>
      <c r="E58">
        <f>'Content Readiness'!C18</f>
        <v>0</v>
      </c>
      <c r="F58">
        <f>'Content Readiness'!D18</f>
        <v>0</v>
      </c>
      <c r="G58">
        <f>'Content Readiness'!E18</f>
        <v>0</v>
      </c>
      <c r="H58" s="61" t="str">
        <f>IF('Content Readiness'!F18="","",'Content Readiness'!F18)</f>
        <v/>
      </c>
      <c r="I58" s="61" t="str">
        <f>IF('Content Readiness'!G18="","",'Content Readiness'!G18)</f>
        <v/>
      </c>
      <c r="J58">
        <f>'Content Readiness'!H18</f>
        <v>0</v>
      </c>
      <c r="K58">
        <f>'Content Readiness'!I18</f>
        <v>0</v>
      </c>
      <c r="L58">
        <f>'Content Readiness'!J18</f>
        <v>0</v>
      </c>
      <c r="M58">
        <f>'Content Readiness'!K18</f>
        <v>0</v>
      </c>
      <c r="N58">
        <f>'Content Readiness'!L18</f>
        <v>0</v>
      </c>
      <c r="O58">
        <f>'Content Readiness'!M18</f>
        <v>0</v>
      </c>
      <c r="P58">
        <f>'Content Readiness'!N18</f>
        <v>0</v>
      </c>
    </row>
    <row r="59" spans="1:16" x14ac:dyDescent="0.25">
      <c r="H59" s="61"/>
      <c r="I59" s="61"/>
    </row>
    <row r="60" spans="1:16" x14ac:dyDescent="0.25">
      <c r="H60" s="61"/>
      <c r="I60" s="61"/>
    </row>
    <row r="61" spans="1:16" x14ac:dyDescent="0.25">
      <c r="H61" s="61"/>
      <c r="I61" s="61"/>
    </row>
    <row r="62" spans="1:16" x14ac:dyDescent="0.25">
      <c r="H62" s="61"/>
      <c r="I62" s="61"/>
    </row>
    <row r="63" spans="1:16" x14ac:dyDescent="0.25">
      <c r="H63" s="61"/>
      <c r="I63" s="61"/>
    </row>
    <row r="64" spans="1:16" x14ac:dyDescent="0.25">
      <c r="H64" s="61"/>
      <c r="I64" s="61"/>
    </row>
    <row r="65" spans="1:16" x14ac:dyDescent="0.25">
      <c r="A65" t="str">
        <f>'Feature Delivery'!$B$1</f>
        <v>Feature Delivery</v>
      </c>
      <c r="B65" t="str">
        <f>'Feature Delivery'!$B$2</f>
        <v>Wayne  &amp; Tebogo</v>
      </c>
      <c r="C65" t="str">
        <f>'Feature Delivery'!A4</f>
        <v>Secure Web</v>
      </c>
      <c r="D65" t="str">
        <f>'Feature Delivery'!B4</f>
        <v>N/A</v>
      </c>
      <c r="E65" t="str">
        <f>'Feature Delivery'!C4</f>
        <v xml:space="preserve">Dashboard Views ( Porffolio Views) </v>
      </c>
      <c r="F65" t="str">
        <f>'Feature Delivery'!D4</f>
        <v>All</v>
      </c>
      <c r="G65" s="61" t="str">
        <f>'Feature Delivery'!E4</f>
        <v>Portfolio View</v>
      </c>
      <c r="H65" s="61" t="str">
        <f>IF('Feature Delivery'!F4="","",'Feature Delivery'!F4)</f>
        <v>TBC</v>
      </c>
      <c r="I65" s="61" t="str">
        <f>IF('Feature Delivery'!G4="","",'Feature Delivery'!G4)</f>
        <v>TBC</v>
      </c>
      <c r="J65" s="61" t="str">
        <f>'Feature Delivery'!H4</f>
        <v>TBC</v>
      </c>
      <c r="K65" s="63">
        <f>'Feature Delivery'!I4</f>
        <v>0.1</v>
      </c>
      <c r="L65" t="str">
        <f>'Feature Delivery'!J4</f>
        <v>High</v>
      </c>
      <c r="M65" t="str">
        <f>'Feature Delivery'!K4</f>
        <v>Yes</v>
      </c>
      <c r="N65" t="str">
        <f>'Feature Delivery'!L4</f>
        <v>Part of the design work that is underway - not included in the number of journeys currently tracked</v>
      </c>
      <c r="O65" t="str">
        <f>'Feature Delivery'!M4</f>
        <v>In Progress</v>
      </c>
      <c r="P65" t="str">
        <f>'Feature Delivery'!N4</f>
        <v xml:space="preserve">The dedicated Servicing team has limited availability, with three resources only confirmed until 10 September and one QE rolling off in August. This creates a significant delivery risk, as all required work must be completed  </v>
      </c>
    </row>
    <row r="66" spans="1:16" x14ac:dyDescent="0.25">
      <c r="A66" t="str">
        <f>'Feature Delivery'!$B$1</f>
        <v>Feature Delivery</v>
      </c>
      <c r="B66" t="str">
        <f>'Feature Delivery'!$B$2</f>
        <v>Wayne  &amp; Tebogo</v>
      </c>
      <c r="C66">
        <f>'Feature Delivery'!A5</f>
        <v>0</v>
      </c>
      <c r="D66">
        <f>'Feature Delivery'!B5</f>
        <v>0</v>
      </c>
      <c r="E66" t="str">
        <f>'Feature Delivery'!C5</f>
        <v xml:space="preserve">Dashboard Views ( Porffolio Views) </v>
      </c>
      <c r="F66" t="str">
        <f>'Feature Delivery'!D5</f>
        <v xml:space="preserve">All </v>
      </c>
      <c r="G66" t="str">
        <f>'Feature Delivery'!E5</f>
        <v xml:space="preserve">Standards on how to creates views on dashboard </v>
      </c>
      <c r="H66" s="61" t="str">
        <f>IF('Feature Delivery'!F5="","",'Feature Delivery'!F5)</f>
        <v>TBC</v>
      </c>
      <c r="I66" s="61" t="str">
        <f>IF('Feature Delivery'!G5="","",'Feature Delivery'!G5)</f>
        <v>TBC</v>
      </c>
      <c r="J66" s="61" t="str">
        <f>'Feature Delivery'!H5</f>
        <v>TBC</v>
      </c>
      <c r="K66" s="63">
        <f>'Feature Delivery'!I5</f>
        <v>0.1</v>
      </c>
      <c r="L66" t="str">
        <f>'Feature Delivery'!J5</f>
        <v>High</v>
      </c>
      <c r="M66">
        <f>'Feature Delivery'!K5</f>
        <v>0</v>
      </c>
      <c r="N66">
        <f>'Feature Delivery'!L5</f>
        <v>0</v>
      </c>
      <c r="O66">
        <f>'Feature Delivery'!M5</f>
        <v>0</v>
      </c>
      <c r="P66">
        <f>'Feature Delivery'!N5</f>
        <v>0</v>
      </c>
    </row>
    <row r="67" spans="1:16" x14ac:dyDescent="0.25">
      <c r="A67" t="str">
        <f>'Feature Delivery'!$B$1</f>
        <v>Feature Delivery</v>
      </c>
      <c r="B67" t="str">
        <f>'Feature Delivery'!$B$2</f>
        <v>Wayne  &amp; Tebogo</v>
      </c>
      <c r="C67" t="str">
        <f>'Feature Delivery'!A6</f>
        <v>Secure Web</v>
      </c>
      <c r="D67" t="str">
        <f>'Feature Delivery'!B6</f>
        <v>N/A</v>
      </c>
      <c r="E67" t="str">
        <f>'Feature Delivery'!C6</f>
        <v xml:space="preserve">Servicing Transaction in  Sec  Web </v>
      </c>
      <c r="F67" t="str">
        <f>'Feature Delivery'!D6</f>
        <v>All</v>
      </c>
      <c r="G67" s="61" t="str">
        <f>'Feature Delivery'!E6</f>
        <v>Content Updates</v>
      </c>
      <c r="H67" s="61" t="str">
        <f>IF('Feature Delivery'!F6="","",'Feature Delivery'!F6)</f>
        <v>TBC</v>
      </c>
      <c r="I67" s="61" t="str">
        <f>IF('Feature Delivery'!G6="","",'Feature Delivery'!G6)</f>
        <v>TBC</v>
      </c>
      <c r="J67" t="str">
        <f>'Feature Delivery'!H6</f>
        <v>TBC</v>
      </c>
      <c r="K67" s="63">
        <f>'Feature Delivery'!I6</f>
        <v>0.1</v>
      </c>
      <c r="L67" t="str">
        <f>'Feature Delivery'!J6</f>
        <v>High</v>
      </c>
      <c r="M67" t="str">
        <f>'Feature Delivery'!K6</f>
        <v>Yes</v>
      </c>
      <c r="N67" t="str">
        <f>'Feature Delivery'!L6</f>
        <v xml:space="preserve">Content Updates to be confirmed </v>
      </c>
      <c r="O67" t="str">
        <f>'Feature Delivery'!M6</f>
        <v>Blocked</v>
      </c>
      <c r="P67" t="str">
        <f>'Feature Delivery'!N6</f>
        <v>.</v>
      </c>
    </row>
    <row r="68" spans="1:16" x14ac:dyDescent="0.25">
      <c r="A68" t="str">
        <f>'Feature Delivery'!$B$1</f>
        <v>Feature Delivery</v>
      </c>
      <c r="B68" t="str">
        <f>'Feature Delivery'!$B$2</f>
        <v>Wayne  &amp; Tebogo</v>
      </c>
      <c r="C68" t="str">
        <f>'Feature Delivery'!A7</f>
        <v>Secure Web</v>
      </c>
      <c r="D68" t="str">
        <f>'Feature Delivery'!B7</f>
        <v>N/A</v>
      </c>
      <c r="E68" t="str">
        <f>'Feature Delivery'!C7</f>
        <v xml:space="preserve">Servicing Transaction in  Sec  Web </v>
      </c>
      <c r="F68" t="str">
        <f>'Feature Delivery'!D7</f>
        <v>All</v>
      </c>
      <c r="G68" s="61" t="str">
        <f>'Feature Delivery'!E7</f>
        <v>Journeys Optimization</v>
      </c>
      <c r="H68" s="61" t="str">
        <f>IF('Feature Delivery'!F7="","",'Feature Delivery'!F7)</f>
        <v>TBC</v>
      </c>
      <c r="I68" s="61" t="str">
        <f>IF('Feature Delivery'!G7="","",'Feature Delivery'!G7)</f>
        <v>TBC</v>
      </c>
      <c r="J68" t="str">
        <f>'Feature Delivery'!H7</f>
        <v>TBC</v>
      </c>
      <c r="K68" s="63">
        <f>'Feature Delivery'!I7</f>
        <v>0.1</v>
      </c>
      <c r="L68" t="str">
        <f>'Feature Delivery'!J7</f>
        <v>High</v>
      </c>
      <c r="M68" t="str">
        <f>'Feature Delivery'!K7</f>
        <v>Yes</v>
      </c>
      <c r="N68" t="str">
        <f>'Feature Delivery'!L7</f>
        <v>Journey Optimisation to be  confirmed</v>
      </c>
      <c r="O68" t="str">
        <f>'Feature Delivery'!M7</f>
        <v>Blocked</v>
      </c>
      <c r="P68" t="str">
        <f>'Feature Delivery'!N7</f>
        <v>.</v>
      </c>
    </row>
    <row r="69" spans="1:16" x14ac:dyDescent="0.25">
      <c r="A69" t="str">
        <f>'Feature Delivery'!$B$1</f>
        <v>Feature Delivery</v>
      </c>
      <c r="B69" t="str">
        <f>'Feature Delivery'!$B$2</f>
        <v>Wayne  &amp; Tebogo</v>
      </c>
      <c r="C69" t="str">
        <f>'Feature Delivery'!A8</f>
        <v>Public Web</v>
      </c>
      <c r="D69" t="str">
        <f>'Feature Delivery'!B8</f>
        <v>OMCOZA</v>
      </c>
      <c r="E69" t="str">
        <f>'Feature Delivery'!C8</f>
        <v xml:space="preserve">Personal </v>
      </c>
      <c r="F69" t="str">
        <f>'Feature Delivery'!D8</f>
        <v>L&amp;S</v>
      </c>
      <c r="G69" s="61" t="str">
        <f>'Feature Delivery'!E8</f>
        <v xml:space="preserve"> Funeral and Death Claims </v>
      </c>
      <c r="H69" s="61">
        <f>IF('Feature Delivery'!F8="","",'Feature Delivery'!F8)</f>
        <v>46174</v>
      </c>
      <c r="I69" s="61">
        <f>IF('Feature Delivery'!G8="","",'Feature Delivery'!G8)</f>
        <v>46234</v>
      </c>
      <c r="J69">
        <f>'Feature Delivery'!H8</f>
        <v>45</v>
      </c>
      <c r="K69" s="63">
        <f>'Feature Delivery'!I8</f>
        <v>0.8</v>
      </c>
      <c r="L69" t="str">
        <f>'Feature Delivery'!J8</f>
        <v>High</v>
      </c>
      <c r="M69" t="str">
        <f>'Feature Delivery'!K8</f>
        <v>No</v>
      </c>
      <c r="N69">
        <f>'Feature Delivery'!L8</f>
        <v>0</v>
      </c>
      <c r="O69" t="str">
        <f>'Feature Delivery'!M8</f>
        <v>In Progress</v>
      </c>
      <c r="P69">
        <f>'Feature Delivery'!N8</f>
        <v>0</v>
      </c>
    </row>
    <row r="70" spans="1:16" x14ac:dyDescent="0.25">
      <c r="A70" t="str">
        <f>'Feature Delivery'!$B$1</f>
        <v>Feature Delivery</v>
      </c>
      <c r="B70" t="str">
        <f>'Feature Delivery'!$B$2</f>
        <v>Wayne  &amp; Tebogo</v>
      </c>
      <c r="C70" t="str">
        <f>'Feature Delivery'!A9</f>
        <v>Secure Web</v>
      </c>
      <c r="D70" t="str">
        <f>'Feature Delivery'!B9</f>
        <v>N/A</v>
      </c>
      <c r="E70" t="str">
        <f>'Feature Delivery'!C9</f>
        <v xml:space="preserve">Servicing Transaction in  Sec  Web </v>
      </c>
      <c r="F70" t="str">
        <f>'Feature Delivery'!D9</f>
        <v>All</v>
      </c>
      <c r="G70" s="61" t="str">
        <f>'Feature Delivery'!E9</f>
        <v xml:space="preserve">Transaction Tracking </v>
      </c>
      <c r="H70" s="61">
        <f>IF('Feature Delivery'!F9="","",'Feature Delivery'!F9)</f>
        <v>46143</v>
      </c>
      <c r="I70" s="61">
        <f>IF('Feature Delivery'!G9="","",'Feature Delivery'!G9)</f>
        <v>46203</v>
      </c>
      <c r="J70">
        <f>'Feature Delivery'!H9</f>
        <v>43</v>
      </c>
      <c r="K70" s="63">
        <f>'Feature Delivery'!I9</f>
        <v>0.8</v>
      </c>
      <c r="L70" t="str">
        <f>'Feature Delivery'!J9</f>
        <v>High</v>
      </c>
      <c r="M70" t="str">
        <f>'Feature Delivery'!K9</f>
        <v>No</v>
      </c>
      <c r="N70">
        <f>'Feature Delivery'!L9</f>
        <v>0</v>
      </c>
      <c r="O70" t="str">
        <f>'Feature Delivery'!M9</f>
        <v>In Progress</v>
      </c>
      <c r="P70">
        <f>'Feature Delivery'!N9</f>
        <v>0</v>
      </c>
    </row>
    <row r="71" spans="1:16" x14ac:dyDescent="0.25">
      <c r="A71" t="str">
        <f>'Feature Delivery'!$B$1</f>
        <v>Feature Delivery</v>
      </c>
      <c r="B71" t="str">
        <f>'Feature Delivery'!$B$2</f>
        <v>Wayne  &amp; Tebogo</v>
      </c>
      <c r="C71" t="str">
        <f>'Feature Delivery'!A10</f>
        <v>Secure Web</v>
      </c>
      <c r="D71" t="str">
        <f>'Feature Delivery'!B10</f>
        <v>N/A</v>
      </c>
      <c r="E71" t="str">
        <f>'Feature Delivery'!C10</f>
        <v xml:space="preserve">Servicing Transaction in  Sec  Web </v>
      </c>
      <c r="F71" t="str">
        <f>'Feature Delivery'!D10</f>
        <v>All</v>
      </c>
      <c r="G71" s="61" t="str">
        <f>'Feature Delivery'!E10</f>
        <v>Lump Sum Injections</v>
      </c>
      <c r="H71" s="61">
        <f>IF('Feature Delivery'!F10="","",'Feature Delivery'!F10)</f>
        <v>46082</v>
      </c>
      <c r="I71" s="61">
        <f>IF('Feature Delivery'!G10="","",'Feature Delivery'!G10)</f>
        <v>46203</v>
      </c>
      <c r="J71">
        <f>'Feature Delivery'!H10</f>
        <v>87</v>
      </c>
      <c r="K71" s="63">
        <f>'Feature Delivery'!I10</f>
        <v>0.8</v>
      </c>
      <c r="L71" t="str">
        <f>'Feature Delivery'!J10</f>
        <v>High</v>
      </c>
      <c r="M71" t="str">
        <f>'Feature Delivery'!K10</f>
        <v>No</v>
      </c>
      <c r="N71">
        <f>'Feature Delivery'!L10</f>
        <v>0</v>
      </c>
      <c r="O71" t="str">
        <f>'Feature Delivery'!M10</f>
        <v>In Progress</v>
      </c>
      <c r="P71">
        <f>'Feature Delivery'!N10</f>
        <v>0</v>
      </c>
    </row>
    <row r="72" spans="1:16" x14ac:dyDescent="0.25">
      <c r="A72" t="str">
        <f>'Feature Delivery'!$B$1</f>
        <v>Feature Delivery</v>
      </c>
      <c r="B72" t="str">
        <f>'Feature Delivery'!$B$2</f>
        <v>Wayne  &amp; Tebogo</v>
      </c>
      <c r="C72" t="str">
        <f>'Feature Delivery'!A11</f>
        <v>Secure Web</v>
      </c>
      <c r="D72" t="str">
        <f>'Feature Delivery'!B11</f>
        <v>N/A</v>
      </c>
      <c r="E72" t="str">
        <f>'Feature Delivery'!C11</f>
        <v xml:space="preserve">Servicing Transaction in  Sec  Web </v>
      </c>
      <c r="F72" t="str">
        <f>'Feature Delivery'!D11</f>
        <v>All</v>
      </c>
      <c r="G72" s="61" t="str">
        <f>'Feature Delivery'!E11</f>
        <v xml:space="preserve">Change Personal Details </v>
      </c>
      <c r="H72" s="61">
        <f>IF('Feature Delivery'!F11="","",'Feature Delivery'!F11)</f>
        <v>46143</v>
      </c>
      <c r="I72" s="61">
        <f>IF('Feature Delivery'!G11="","",'Feature Delivery'!G11)</f>
        <v>46234</v>
      </c>
      <c r="J72">
        <f>'Feature Delivery'!H11</f>
        <v>66</v>
      </c>
      <c r="K72" s="63">
        <f>'Feature Delivery'!I11</f>
        <v>0.8</v>
      </c>
      <c r="L72" t="str">
        <f>'Feature Delivery'!J11</f>
        <v>High</v>
      </c>
      <c r="M72" t="str">
        <f>'Feature Delivery'!K11</f>
        <v>No</v>
      </c>
      <c r="N72">
        <f>'Feature Delivery'!L11</f>
        <v>0</v>
      </c>
      <c r="O72" t="str">
        <f>'Feature Delivery'!M11</f>
        <v>In Progress</v>
      </c>
      <c r="P72">
        <f>'Feature Delivery'!N11</f>
        <v>0</v>
      </c>
    </row>
    <row r="73" spans="1:16" x14ac:dyDescent="0.25">
      <c r="A73" t="str">
        <f>'Feature Delivery'!$B$1</f>
        <v>Feature Delivery</v>
      </c>
      <c r="B73" t="str">
        <f>'Feature Delivery'!$B$2</f>
        <v>Wayne  &amp; Tebogo</v>
      </c>
      <c r="C73" t="str">
        <f>'Feature Delivery'!A12</f>
        <v>Secure Web</v>
      </c>
      <c r="D73" t="str">
        <f>'Feature Delivery'!B12</f>
        <v>N/A</v>
      </c>
      <c r="E73" t="str">
        <f>'Feature Delivery'!C12</f>
        <v xml:space="preserve">Servicing Transaction in  Sec  Web </v>
      </c>
      <c r="F73" t="str">
        <f>'Feature Delivery'!D12</f>
        <v>All</v>
      </c>
      <c r="G73" s="61" t="str">
        <f>'Feature Delivery'!E12</f>
        <v xml:space="preserve">Manage Contributions </v>
      </c>
      <c r="H73" s="61">
        <f>IF('Feature Delivery'!F12="","",'Feature Delivery'!F12)</f>
        <v>46143</v>
      </c>
      <c r="I73" s="61">
        <f>IF('Feature Delivery'!G12="","",'Feature Delivery'!G12)</f>
        <v>46203</v>
      </c>
      <c r="J73">
        <f>'Feature Delivery'!H12</f>
        <v>43</v>
      </c>
      <c r="K73" s="63">
        <f>'Feature Delivery'!I12</f>
        <v>0.8</v>
      </c>
      <c r="L73" t="str">
        <f>'Feature Delivery'!J12</f>
        <v>High</v>
      </c>
      <c r="M73" t="str">
        <f>'Feature Delivery'!K12</f>
        <v>No</v>
      </c>
      <c r="N73">
        <f>'Feature Delivery'!L12</f>
        <v>0</v>
      </c>
      <c r="O73" t="str">
        <f>'Feature Delivery'!M12</f>
        <v>In Progress</v>
      </c>
      <c r="P73">
        <f>'Feature Delivery'!N12</f>
        <v>0</v>
      </c>
    </row>
    <row r="74" spans="1:16" x14ac:dyDescent="0.25">
      <c r="A74" t="str">
        <f>'Feature Delivery'!$B$1</f>
        <v>Feature Delivery</v>
      </c>
      <c r="B74" t="str">
        <f>'Feature Delivery'!$B$2</f>
        <v>Wayne  &amp; Tebogo</v>
      </c>
      <c r="C74" t="str">
        <f>'Feature Delivery'!A13</f>
        <v>Secure Web</v>
      </c>
      <c r="D74" t="str">
        <f>'Feature Delivery'!B13</f>
        <v>N/A</v>
      </c>
      <c r="E74" t="str">
        <f>'Feature Delivery'!C13</f>
        <v xml:space="preserve">Servicing Transaction in  Sec  Web </v>
      </c>
      <c r="F74" t="str">
        <f>'Feature Delivery'!D13</f>
        <v>All</v>
      </c>
      <c r="G74" s="61" t="str">
        <f>'Feature Delivery'!E13</f>
        <v xml:space="preserve">Switch Funds </v>
      </c>
      <c r="H74" s="61">
        <f>IF('Feature Delivery'!F13="","",'Feature Delivery'!F13)</f>
        <v>46143</v>
      </c>
      <c r="I74" s="61">
        <f>IF('Feature Delivery'!G13="","",'Feature Delivery'!G13)</f>
        <v>46203</v>
      </c>
      <c r="J74">
        <f>'Feature Delivery'!H13</f>
        <v>43</v>
      </c>
      <c r="K74" s="63">
        <f>'Feature Delivery'!I13</f>
        <v>0.8</v>
      </c>
      <c r="L74" t="str">
        <f>'Feature Delivery'!J13</f>
        <v>High</v>
      </c>
      <c r="M74" t="str">
        <f>'Feature Delivery'!K13</f>
        <v>No</v>
      </c>
      <c r="N74">
        <f>'Feature Delivery'!L13</f>
        <v>0</v>
      </c>
      <c r="O74" t="str">
        <f>'Feature Delivery'!M13</f>
        <v>In Progress</v>
      </c>
      <c r="P74">
        <f>'Feature Delivery'!N13</f>
        <v>0</v>
      </c>
    </row>
    <row r="75" spans="1:16" x14ac:dyDescent="0.25">
      <c r="A75" t="str">
        <f>'Feature Delivery'!$B$1</f>
        <v>Feature Delivery</v>
      </c>
      <c r="B75" t="str">
        <f>'Feature Delivery'!$B$2</f>
        <v>Wayne  &amp; Tebogo</v>
      </c>
      <c r="C75" t="str">
        <f>'Feature Delivery'!A14</f>
        <v>Secure Web</v>
      </c>
      <c r="D75" t="str">
        <f>'Feature Delivery'!B14</f>
        <v>N/A</v>
      </c>
      <c r="E75" t="str">
        <f>'Feature Delivery'!C14</f>
        <v xml:space="preserve">Servicing Transaction in  Sec  Web </v>
      </c>
      <c r="F75" t="str">
        <f>'Feature Delivery'!D14</f>
        <v>All</v>
      </c>
      <c r="G75" s="61" t="str">
        <f>'Feature Delivery'!E14</f>
        <v>Withdrawals/Disinvestments</v>
      </c>
      <c r="H75" s="61">
        <f>IF('Feature Delivery'!F14="","",'Feature Delivery'!F14)</f>
        <v>46204</v>
      </c>
      <c r="I75" s="61">
        <f>IF('Feature Delivery'!G14="","",'Feature Delivery'!G14)</f>
        <v>46357</v>
      </c>
      <c r="J75">
        <f>'Feature Delivery'!H14</f>
        <v>110</v>
      </c>
      <c r="K75" s="63">
        <f>'Feature Delivery'!I14</f>
        <v>0.4</v>
      </c>
      <c r="L75" t="str">
        <f>'Feature Delivery'!J14</f>
        <v>High</v>
      </c>
      <c r="M75" t="str">
        <f>'Feature Delivery'!K14</f>
        <v>No</v>
      </c>
      <c r="N75">
        <f>'Feature Delivery'!L14</f>
        <v>0</v>
      </c>
      <c r="O75" t="str">
        <f>'Feature Delivery'!M14</f>
        <v>In Progress</v>
      </c>
      <c r="P75">
        <f>'Feature Delivery'!N14</f>
        <v>0</v>
      </c>
    </row>
    <row r="76" spans="1:16" x14ac:dyDescent="0.25">
      <c r="A76" t="str">
        <f>'Feature Delivery'!$B$1</f>
        <v>Feature Delivery</v>
      </c>
      <c r="B76" t="str">
        <f>'Feature Delivery'!$B$2</f>
        <v>Wayne  &amp; Tebogo</v>
      </c>
      <c r="C76" t="str">
        <f>'Feature Delivery'!A15</f>
        <v>Secure Web</v>
      </c>
      <c r="D76" t="str">
        <f>'Feature Delivery'!B15</f>
        <v>N/A</v>
      </c>
      <c r="E76" t="str">
        <f>'Feature Delivery'!C15</f>
        <v xml:space="preserve">Servicing Transaction in  Sec  Web </v>
      </c>
      <c r="F76" t="str">
        <f>'Feature Delivery'!D15</f>
        <v>All</v>
      </c>
      <c r="G76" s="61" t="str">
        <f>'Feature Delivery'!E15</f>
        <v>Change Premium Allocation</v>
      </c>
      <c r="H76" s="61">
        <f>IF('Feature Delivery'!F15="","",'Feature Delivery'!F15)</f>
        <v>46082</v>
      </c>
      <c r="I76" s="61">
        <f>IF('Feature Delivery'!G15="","",'Feature Delivery'!G15)</f>
        <v>46203</v>
      </c>
      <c r="J76">
        <f>'Feature Delivery'!H15</f>
        <v>87</v>
      </c>
      <c r="K76" s="63">
        <f>'Feature Delivery'!I15</f>
        <v>0.8</v>
      </c>
      <c r="L76" t="str">
        <f>'Feature Delivery'!J15</f>
        <v>High</v>
      </c>
      <c r="M76" t="str">
        <f>'Feature Delivery'!K15</f>
        <v>No</v>
      </c>
      <c r="N76">
        <f>'Feature Delivery'!L15</f>
        <v>0</v>
      </c>
      <c r="O76" t="str">
        <f>'Feature Delivery'!M15</f>
        <v>In Progress</v>
      </c>
      <c r="P76">
        <f>'Feature Delivery'!N15</f>
        <v>0</v>
      </c>
    </row>
    <row r="77" spans="1:16" x14ac:dyDescent="0.25">
      <c r="A77" t="str">
        <f>'Feature Delivery'!$B$1</f>
        <v>Feature Delivery</v>
      </c>
      <c r="B77" t="str">
        <f>'Feature Delivery'!$B$2</f>
        <v>Wayne  &amp; Tebogo</v>
      </c>
      <c r="C77" t="str">
        <f>'Feature Delivery'!A16</f>
        <v>Public Web</v>
      </c>
      <c r="D77" t="str">
        <f>'Feature Delivery'!B16</f>
        <v>OMCOZA</v>
      </c>
      <c r="E77" t="str">
        <f>'Feature Delivery'!C16</f>
        <v xml:space="preserve">Personal </v>
      </c>
      <c r="F77" t="str">
        <f>'Feature Delivery'!D16</f>
        <v>L&amp;S</v>
      </c>
      <c r="G77" s="61" t="str">
        <f>'Feature Delivery'!E16</f>
        <v>Easy Plus Sales Jorurney on Public Web</v>
      </c>
      <c r="H77" s="61" t="str">
        <f>IF('Feature Delivery'!F16="","",'Feature Delivery'!F16)</f>
        <v>TBC</v>
      </c>
      <c r="I77" s="61" t="str">
        <f>IF('Feature Delivery'!G16="","",'Feature Delivery'!G16)</f>
        <v>TBC</v>
      </c>
      <c r="J77">
        <f>'Feature Delivery'!H16</f>
        <v>0</v>
      </c>
      <c r="K77" s="63">
        <f>'Feature Delivery'!I16</f>
        <v>0.1</v>
      </c>
      <c r="L77" t="str">
        <f>'Feature Delivery'!J16</f>
        <v>High</v>
      </c>
      <c r="M77" t="str">
        <f>'Feature Delivery'!K16</f>
        <v>Yes</v>
      </c>
      <c r="N77" t="str">
        <f>'Feature Delivery'!L16</f>
        <v xml:space="preserve">product page has   to be updated before this journey can be migrated </v>
      </c>
      <c r="O77" t="str">
        <f>'Feature Delivery'!M16</f>
        <v>Blocked</v>
      </c>
      <c r="P77" t="str">
        <f>'Feature Delivery'!N16</f>
        <v>.</v>
      </c>
    </row>
    <row r="78" spans="1:16" x14ac:dyDescent="0.25">
      <c r="A78" t="str">
        <f>'Feature Delivery'!$B$1</f>
        <v>Feature Delivery</v>
      </c>
      <c r="B78" t="str">
        <f>'Feature Delivery'!$B$2</f>
        <v>Wayne  &amp; Tebogo</v>
      </c>
      <c r="C78" t="str">
        <f>'Feature Delivery'!A17</f>
        <v>Public Web</v>
      </c>
      <c r="D78" t="str">
        <f>'Feature Delivery'!B17</f>
        <v>OMCOZA</v>
      </c>
      <c r="E78" t="str">
        <f>'Feature Delivery'!C17</f>
        <v xml:space="preserve">Personal </v>
      </c>
      <c r="F78" t="str">
        <f>'Feature Delivery'!D17</f>
        <v>L&amp;S</v>
      </c>
      <c r="G78" t="str">
        <f>'Feature Delivery'!E17</f>
        <v xml:space="preserve">2 Pot </v>
      </c>
      <c r="H78" s="61">
        <f>IF('Feature Delivery'!F17="","",'Feature Delivery'!F17)</f>
        <v>46082</v>
      </c>
      <c r="I78" s="61">
        <f>IF('Feature Delivery'!G17="","",'Feature Delivery'!G17)</f>
        <v>46203</v>
      </c>
      <c r="J78">
        <f>'Feature Delivery'!H17</f>
        <v>87</v>
      </c>
      <c r="K78" s="63">
        <f>'Feature Delivery'!I17</f>
        <v>0.8</v>
      </c>
      <c r="L78" t="str">
        <f>'Feature Delivery'!J17</f>
        <v>High</v>
      </c>
      <c r="M78">
        <f>'Feature Delivery'!K17</f>
        <v>0</v>
      </c>
      <c r="N78">
        <f>'Feature Delivery'!L17</f>
        <v>0</v>
      </c>
      <c r="O78" t="str">
        <f>'Feature Delivery'!M17</f>
        <v>In Progress</v>
      </c>
      <c r="P78">
        <f>'Feature Delivery'!N17</f>
        <v>0</v>
      </c>
    </row>
    <row r="79" spans="1:16" x14ac:dyDescent="0.25">
      <c r="A79" t="str">
        <f>'Feature Delivery'!$B$1</f>
        <v>Feature Delivery</v>
      </c>
      <c r="B79" t="str">
        <f>'Feature Delivery'!$B$2</f>
        <v>Wayne  &amp; Tebogo</v>
      </c>
      <c r="C79" t="str">
        <f>'Feature Delivery'!A18</f>
        <v>Public Web</v>
      </c>
      <c r="D79" t="str">
        <f>'Feature Delivery'!B18</f>
        <v>OMCOZA</v>
      </c>
      <c r="E79" t="str">
        <f>'Feature Delivery'!C18</f>
        <v xml:space="preserve">Personal </v>
      </c>
      <c r="F79" t="str">
        <f>'Feature Delivery'!D18</f>
        <v>L&amp;S</v>
      </c>
      <c r="G79" t="str">
        <f>'Feature Delivery'!E18</f>
        <v xml:space="preserve">Find Advisor </v>
      </c>
      <c r="H79" s="61" t="str">
        <f>IF('Feature Delivery'!F18="","",'Feature Delivery'!F18)</f>
        <v>Beta Testing Ready</v>
      </c>
      <c r="I79" s="61" t="str">
        <f>IF('Feature Delivery'!G18="","",'Feature Delivery'!G18)</f>
        <v>Beta Testing Ready</v>
      </c>
      <c r="J79" s="61" t="str">
        <f>'Feature Delivery'!H18</f>
        <v>Beta Testing Ready</v>
      </c>
      <c r="K79" s="63">
        <f>'Feature Delivery'!I18</f>
        <v>0.9</v>
      </c>
      <c r="L79" t="str">
        <f>'Feature Delivery'!J18</f>
        <v>High</v>
      </c>
      <c r="M79" t="str">
        <f>'Feature Delivery'!K18</f>
        <v>Yes</v>
      </c>
      <c r="N79" t="str">
        <f>'Feature Delivery'!L18</f>
        <v xml:space="preserve">Design - Impact of of new templates on  Find Advisor flow </v>
      </c>
      <c r="O79" t="str">
        <f>'Feature Delivery'!M18</f>
        <v>In Progress</v>
      </c>
      <c r="P79" t="str">
        <f>'Feature Delivery'!N18</f>
        <v>TBC</v>
      </c>
    </row>
    <row r="80" spans="1:16" x14ac:dyDescent="0.25">
      <c r="A80" t="str">
        <f>'Feature Delivery'!$B$1</f>
        <v>Feature Delivery</v>
      </c>
      <c r="B80" t="str">
        <f>'Feature Delivery'!$B$2</f>
        <v>Wayne  &amp; Tebogo</v>
      </c>
      <c r="C80" t="str">
        <f>'Feature Delivery'!A19</f>
        <v>Public Web</v>
      </c>
      <c r="D80" t="str">
        <f>'Feature Delivery'!B19</f>
        <v>OMCOZA</v>
      </c>
      <c r="E80" t="str">
        <f>'Feature Delivery'!C19</f>
        <v xml:space="preserve">Personal </v>
      </c>
      <c r="F80" t="str">
        <f>'Feature Delivery'!D19</f>
        <v>L&amp;S</v>
      </c>
      <c r="G80" t="str">
        <f>'Feature Delivery'!E19</f>
        <v xml:space="preserve">Debt Calculator </v>
      </c>
      <c r="H80" s="61">
        <f>IF('Feature Delivery'!F19="","",'Feature Delivery'!F19)</f>
        <v>46082</v>
      </c>
      <c r="I80" s="61">
        <f>IF('Feature Delivery'!G19="","",'Feature Delivery'!G19)</f>
        <v>46203</v>
      </c>
      <c r="J80">
        <f>'Feature Delivery'!H19</f>
        <v>87</v>
      </c>
      <c r="K80" s="63">
        <f>'Feature Delivery'!I19</f>
        <v>0.8</v>
      </c>
      <c r="L80" t="str">
        <f>'Feature Delivery'!J19</f>
        <v>High</v>
      </c>
      <c r="M80" t="str">
        <f>'Feature Delivery'!K19</f>
        <v>No</v>
      </c>
      <c r="N80" t="str">
        <f>'Feature Delivery'!L19</f>
        <v xml:space="preserve">BA  Capacity is constrained  due current  BA on medical Leave </v>
      </c>
      <c r="O80" t="str">
        <f>'Feature Delivery'!M19</f>
        <v>In Progress</v>
      </c>
      <c r="P80">
        <f>'Feature Delivery'!N19</f>
        <v>0</v>
      </c>
    </row>
    <row r="81" spans="1:16" x14ac:dyDescent="0.25">
      <c r="A81" t="str">
        <f>'Feature Delivery'!$B$1</f>
        <v>Feature Delivery</v>
      </c>
      <c r="B81" t="str">
        <f>'Feature Delivery'!$B$2</f>
        <v>Wayne  &amp; Tebogo</v>
      </c>
      <c r="C81" t="str">
        <f>'Feature Delivery'!A20</f>
        <v>Public Web</v>
      </c>
      <c r="D81" t="str">
        <f>'Feature Delivery'!B20</f>
        <v>OMCOZA</v>
      </c>
      <c r="E81" t="str">
        <f>'Feature Delivery'!C20</f>
        <v xml:space="preserve">Personal </v>
      </c>
      <c r="F81" t="str">
        <f>'Feature Delivery'!D20</f>
        <v>L&amp;S</v>
      </c>
      <c r="G81" t="str">
        <f>'Feature Delivery'!E20</f>
        <v xml:space="preserve">Personal Calculator </v>
      </c>
      <c r="H81" s="61">
        <f>IF('Feature Delivery'!F20="","",'Feature Delivery'!F20)</f>
        <v>46082</v>
      </c>
      <c r="I81" s="61">
        <f>IF('Feature Delivery'!G20="","",'Feature Delivery'!G20)</f>
        <v>46203</v>
      </c>
      <c r="J81">
        <f>'Feature Delivery'!H20</f>
        <v>87</v>
      </c>
      <c r="K81" s="63">
        <f>'Feature Delivery'!I20</f>
        <v>0.8</v>
      </c>
      <c r="L81" t="str">
        <f>'Feature Delivery'!J20</f>
        <v>High</v>
      </c>
      <c r="M81" t="str">
        <f>'Feature Delivery'!K20</f>
        <v>No</v>
      </c>
      <c r="N81" t="str">
        <f>'Feature Delivery'!L20</f>
        <v xml:space="preserve">End of Curent PI   front end  Development resources  will move out of cross channel </v>
      </c>
      <c r="O81">
        <f>'Feature Delivery'!M20</f>
        <v>0</v>
      </c>
      <c r="P81">
        <f>'Feature Delivery'!N20</f>
        <v>0</v>
      </c>
    </row>
    <row r="82" spans="1:16" x14ac:dyDescent="0.25">
      <c r="A82" t="str">
        <f>'Feature Delivery'!$B$1</f>
        <v>Feature Delivery</v>
      </c>
      <c r="B82" t="str">
        <f>'Feature Delivery'!$B$2</f>
        <v>Wayne  &amp; Tebogo</v>
      </c>
      <c r="C82" t="str">
        <f>'Feature Delivery'!A21</f>
        <v>Public Web</v>
      </c>
      <c r="D82" t="str">
        <f>'Feature Delivery'!B21</f>
        <v>OMCOZA</v>
      </c>
      <c r="E82" t="str">
        <f>'Feature Delivery'!C21</f>
        <v xml:space="preserve">Personal </v>
      </c>
      <c r="F82" t="str">
        <f>'Feature Delivery'!D21</f>
        <v>L&amp;S</v>
      </c>
      <c r="G82" t="str">
        <f>'Feature Delivery'!E21</f>
        <v xml:space="preserve">Budget  Calculator </v>
      </c>
      <c r="H82" s="61">
        <f>IF('Feature Delivery'!F21="","",'Feature Delivery'!F21)</f>
        <v>46083</v>
      </c>
      <c r="I82" s="61">
        <f>IF('Feature Delivery'!G21="","",'Feature Delivery'!G21)</f>
        <v>46203</v>
      </c>
      <c r="J82">
        <f>'Feature Delivery'!H21</f>
        <v>87</v>
      </c>
      <c r="K82">
        <f>'Feature Delivery'!I21</f>
        <v>0</v>
      </c>
      <c r="L82" t="str">
        <f>'Feature Delivery'!J21</f>
        <v>High</v>
      </c>
      <c r="M82" t="str">
        <f>'Feature Delivery'!K21</f>
        <v>No</v>
      </c>
      <c r="N82">
        <f>'Feature Delivery'!L21</f>
        <v>0</v>
      </c>
      <c r="O82">
        <f>'Feature Delivery'!M21</f>
        <v>0</v>
      </c>
      <c r="P82">
        <f>'Feature Delivery'!N21</f>
        <v>0</v>
      </c>
    </row>
    <row r="83" spans="1:16" x14ac:dyDescent="0.25">
      <c r="A83" t="str">
        <f>'Feature Delivery'!$B$1</f>
        <v>Feature Delivery</v>
      </c>
      <c r="B83" t="str">
        <f>'Feature Delivery'!$B$2</f>
        <v>Wayne  &amp; Tebogo</v>
      </c>
      <c r="C83" t="str">
        <f>'Feature Delivery'!A22</f>
        <v>Public Web</v>
      </c>
      <c r="D83" t="str">
        <f>'Feature Delivery'!B22</f>
        <v>OMCOZA</v>
      </c>
      <c r="E83" t="str">
        <f>'Feature Delivery'!C22</f>
        <v xml:space="preserve">Personal </v>
      </c>
      <c r="F83" t="str">
        <f>'Feature Delivery'!D22</f>
        <v>L&amp;S</v>
      </c>
      <c r="G83" t="str">
        <f>'Feature Delivery'!E22</f>
        <v>Income  Tax Calculator</v>
      </c>
      <c r="H83" s="61" t="str">
        <f>IF('Feature Delivery'!F22="","",'Feature Delivery'!F22)</f>
        <v>Beta Testing Ready</v>
      </c>
      <c r="I83" s="61" t="str">
        <f>IF('Feature Delivery'!G22="","",'Feature Delivery'!G22)</f>
        <v>Beta Testing Ready</v>
      </c>
      <c r="J83" s="61" t="str">
        <f>'Feature Delivery'!H22</f>
        <v>Beta Testing Ready</v>
      </c>
      <c r="K83" s="63">
        <f>'Feature Delivery'!I22</f>
        <v>0.9</v>
      </c>
      <c r="L83" t="str">
        <f>'Feature Delivery'!J22</f>
        <v>High</v>
      </c>
      <c r="M83" t="str">
        <f>'Feature Delivery'!K22</f>
        <v>No</v>
      </c>
      <c r="N83">
        <f>'Feature Delivery'!L22</f>
        <v>0</v>
      </c>
      <c r="O83">
        <f>'Feature Delivery'!M22</f>
        <v>0</v>
      </c>
      <c r="P83">
        <f>'Feature Delivery'!N22</f>
        <v>0</v>
      </c>
    </row>
    <row r="84" spans="1:16" x14ac:dyDescent="0.25">
      <c r="A84" t="str">
        <f>'Feature Delivery'!$B$1</f>
        <v>Feature Delivery</v>
      </c>
      <c r="B84" t="str">
        <f>'Feature Delivery'!$B$2</f>
        <v>Wayne  &amp; Tebogo</v>
      </c>
      <c r="C84" t="str">
        <f>'Feature Delivery'!A23</f>
        <v>Public Web</v>
      </c>
      <c r="D84" t="str">
        <f>'Feature Delivery'!B23</f>
        <v>OMCOZA</v>
      </c>
      <c r="E84" t="str">
        <f>'Feature Delivery'!C23</f>
        <v xml:space="preserve">Personal </v>
      </c>
      <c r="F84" t="str">
        <f>'Feature Delivery'!D23</f>
        <v>L&amp;S</v>
      </c>
      <c r="G84" t="str">
        <f>'Feature Delivery'!E23</f>
        <v xml:space="preserve"> Retirement Calculator</v>
      </c>
      <c r="H84" s="61" t="str">
        <f>IF('Feature Delivery'!F23="","",'Feature Delivery'!F23)</f>
        <v>Beta Testing Ready</v>
      </c>
      <c r="I84" s="61" t="str">
        <f>IF('Feature Delivery'!G23="","",'Feature Delivery'!G23)</f>
        <v>Beta Testing Ready</v>
      </c>
      <c r="J84" s="61" t="str">
        <f>'Feature Delivery'!H23</f>
        <v>Beta Testing Ready</v>
      </c>
      <c r="K84" s="63">
        <f>'Feature Delivery'!I23</f>
        <v>0.9</v>
      </c>
      <c r="L84" t="str">
        <f>'Feature Delivery'!J23</f>
        <v>High</v>
      </c>
      <c r="M84" t="str">
        <f>'Feature Delivery'!K23</f>
        <v>No</v>
      </c>
      <c r="N84">
        <f>'Feature Delivery'!L23</f>
        <v>0</v>
      </c>
      <c r="O84">
        <f>'Feature Delivery'!M23</f>
        <v>0</v>
      </c>
      <c r="P84">
        <f>'Feature Delivery'!N23</f>
        <v>0</v>
      </c>
    </row>
    <row r="85" spans="1:16" x14ac:dyDescent="0.25">
      <c r="A85" t="str">
        <f>'Feature Delivery'!$B$1</f>
        <v>Feature Delivery</v>
      </c>
      <c r="B85" t="str">
        <f>'Feature Delivery'!$B$2</f>
        <v>Wayne  &amp; Tebogo</v>
      </c>
      <c r="C85" t="str">
        <f>'Feature Delivery'!A24</f>
        <v>Public Web</v>
      </c>
      <c r="D85" t="str">
        <f>'Feature Delivery'!B24</f>
        <v>OMCOZA</v>
      </c>
      <c r="E85" t="str">
        <f>'Feature Delivery'!C24</f>
        <v xml:space="preserve">Personal </v>
      </c>
      <c r="F85" t="str">
        <f>'Feature Delivery'!D24</f>
        <v>L&amp;S</v>
      </c>
      <c r="G85" t="str">
        <f>'Feature Delivery'!E24</f>
        <v xml:space="preserve">2 Pot Calculator </v>
      </c>
      <c r="H85" s="61" t="str">
        <f>IF('Feature Delivery'!F24="","",'Feature Delivery'!F24)</f>
        <v>Beta Testing Ready</v>
      </c>
      <c r="I85" s="61" t="str">
        <f>IF('Feature Delivery'!G24="","",'Feature Delivery'!G24)</f>
        <v>Beta Testing Ready</v>
      </c>
      <c r="J85" s="61" t="str">
        <f>'Feature Delivery'!H24</f>
        <v>Beta Testing Ready</v>
      </c>
      <c r="K85" s="63">
        <f>'Feature Delivery'!I24</f>
        <v>0.9</v>
      </c>
      <c r="L85" t="str">
        <f>'Feature Delivery'!J24</f>
        <v>High</v>
      </c>
      <c r="M85" t="str">
        <f>'Feature Delivery'!K24</f>
        <v>No</v>
      </c>
      <c r="N85">
        <f>'Feature Delivery'!L24</f>
        <v>0</v>
      </c>
      <c r="O85">
        <f>'Feature Delivery'!M24</f>
        <v>0</v>
      </c>
      <c r="P85">
        <f>'Feature Delivery'!N24</f>
        <v>0</v>
      </c>
    </row>
    <row r="86" spans="1:16" x14ac:dyDescent="0.25">
      <c r="A86" t="str">
        <f>'Feature Delivery'!$B$1</f>
        <v>Feature Delivery</v>
      </c>
      <c r="B86" t="str">
        <f>'Feature Delivery'!$B$2</f>
        <v>Wayne  &amp; Tebogo</v>
      </c>
      <c r="C86" t="str">
        <f>'Feature Delivery'!A25</f>
        <v>Public Web</v>
      </c>
      <c r="D86" t="str">
        <f>'Feature Delivery'!B25</f>
        <v>OMCOZA</v>
      </c>
      <c r="E86" t="str">
        <f>'Feature Delivery'!C25</f>
        <v xml:space="preserve">Personal </v>
      </c>
      <c r="F86" t="str">
        <f>'Feature Delivery'!D25</f>
        <v>L&amp;S</v>
      </c>
      <c r="G86" t="str">
        <f>'Feature Delivery'!E25</f>
        <v xml:space="preserve">Contact Us </v>
      </c>
      <c r="H86" s="61" t="str">
        <f>IF('Feature Delivery'!F25="","",'Feature Delivery'!F25)</f>
        <v>Analysis  in Progress</v>
      </c>
      <c r="I86" s="61" t="str">
        <f>IF('Feature Delivery'!G25="","",'Feature Delivery'!G25)</f>
        <v>Analysis  in Progress</v>
      </c>
      <c r="J86" t="str">
        <f>'Feature Delivery'!H25</f>
        <v xml:space="preserve">Analysis in Progress </v>
      </c>
      <c r="K86" s="63">
        <f>'Feature Delivery'!I25</f>
        <v>0.3</v>
      </c>
      <c r="L86" t="str">
        <f>'Feature Delivery'!J25</f>
        <v>High</v>
      </c>
      <c r="M86" t="str">
        <f>'Feature Delivery'!K25</f>
        <v>No</v>
      </c>
      <c r="N86">
        <f>'Feature Delivery'!L25</f>
        <v>0</v>
      </c>
      <c r="O86">
        <f>'Feature Delivery'!M25</f>
        <v>0</v>
      </c>
      <c r="P86">
        <f>'Feature Delivery'!N25</f>
        <v>0</v>
      </c>
    </row>
    <row r="87" spans="1:16" x14ac:dyDescent="0.25">
      <c r="A87" t="str">
        <f>'Feature Delivery'!$B$1</f>
        <v>Feature Delivery</v>
      </c>
      <c r="B87" t="str">
        <f>'Feature Delivery'!$B$2</f>
        <v>Wayne  &amp; Tebogo</v>
      </c>
      <c r="C87">
        <f>'Feature Delivery'!A26</f>
        <v>0</v>
      </c>
      <c r="D87">
        <f>'Feature Delivery'!B26</f>
        <v>0</v>
      </c>
      <c r="E87">
        <f>'Feature Delivery'!C26</f>
        <v>0</v>
      </c>
      <c r="F87">
        <f>'Feature Delivery'!D26</f>
        <v>0</v>
      </c>
      <c r="G87">
        <f>'Feature Delivery'!E26</f>
        <v>0</v>
      </c>
      <c r="H87" s="61" t="str">
        <f>IF('Feature Delivery'!F26="","",'Feature Delivery'!F26)</f>
        <v/>
      </c>
      <c r="I87" s="61" t="str">
        <f>IF('Feature Delivery'!G26="","",'Feature Delivery'!G26)</f>
        <v/>
      </c>
      <c r="J87">
        <f>'Feature Delivery'!H26</f>
        <v>0</v>
      </c>
      <c r="K87">
        <f>'Feature Delivery'!I26</f>
        <v>0</v>
      </c>
      <c r="L87">
        <f>'Feature Delivery'!J26</f>
        <v>0</v>
      </c>
      <c r="M87">
        <f>'Feature Delivery'!K26</f>
        <v>0</v>
      </c>
      <c r="N87">
        <f>'Feature Delivery'!L26</f>
        <v>0</v>
      </c>
      <c r="O87">
        <f>'Feature Delivery'!M26</f>
        <v>0</v>
      </c>
      <c r="P87">
        <f>'Feature Delivery'!N26</f>
        <v>0</v>
      </c>
    </row>
    <row r="88" spans="1:16" x14ac:dyDescent="0.25">
      <c r="A88" t="str">
        <f>'Feature Delivery'!$B$1</f>
        <v>Feature Delivery</v>
      </c>
      <c r="B88" t="str">
        <f>'Feature Delivery'!$B$2</f>
        <v>Wayne  &amp; Tebogo</v>
      </c>
      <c r="C88">
        <f>'Feature Delivery'!A27</f>
        <v>0</v>
      </c>
      <c r="D88">
        <f>'Feature Delivery'!B27</f>
        <v>0</v>
      </c>
      <c r="E88">
        <f>'Feature Delivery'!C27</f>
        <v>0</v>
      </c>
      <c r="F88">
        <f>'Feature Delivery'!D27</f>
        <v>0</v>
      </c>
      <c r="G88">
        <f>'Feature Delivery'!E27</f>
        <v>0</v>
      </c>
      <c r="H88" s="61" t="str">
        <f>IF('Feature Delivery'!F27="","",'Feature Delivery'!F27)</f>
        <v/>
      </c>
      <c r="I88" s="61" t="str">
        <f>IF('Feature Delivery'!G27="","",'Feature Delivery'!G27)</f>
        <v/>
      </c>
      <c r="J88">
        <f>'Feature Delivery'!H27</f>
        <v>0</v>
      </c>
      <c r="K88">
        <f>'Feature Delivery'!I27</f>
        <v>0</v>
      </c>
      <c r="L88">
        <f>'Feature Delivery'!J27</f>
        <v>0</v>
      </c>
      <c r="M88">
        <f>'Feature Delivery'!K27</f>
        <v>0</v>
      </c>
      <c r="N88">
        <f>'Feature Delivery'!L27</f>
        <v>0</v>
      </c>
      <c r="O88">
        <f>'Feature Delivery'!M27</f>
        <v>0</v>
      </c>
      <c r="P88">
        <f>'Feature Delivery'!N27</f>
        <v>0</v>
      </c>
    </row>
    <row r="89" spans="1:16" x14ac:dyDescent="0.25">
      <c r="A89" t="str">
        <f>'Feature Delivery'!$B$1</f>
        <v>Feature Delivery</v>
      </c>
      <c r="B89" t="str">
        <f>'Feature Delivery'!$B$2</f>
        <v>Wayne  &amp; Tebogo</v>
      </c>
      <c r="C89">
        <f>'Feature Delivery'!A28</f>
        <v>0</v>
      </c>
      <c r="D89">
        <f>'Feature Delivery'!B28</f>
        <v>0</v>
      </c>
      <c r="E89">
        <f>'Feature Delivery'!C28</f>
        <v>0</v>
      </c>
      <c r="F89">
        <f>'Feature Delivery'!D28</f>
        <v>0</v>
      </c>
      <c r="G89">
        <f>'Feature Delivery'!E28</f>
        <v>0</v>
      </c>
      <c r="H89" s="61" t="str">
        <f>IF('Feature Delivery'!F28="","",'Feature Delivery'!F28)</f>
        <v/>
      </c>
      <c r="I89" s="61" t="str">
        <f>IF('Feature Delivery'!G28="","",'Feature Delivery'!G28)</f>
        <v/>
      </c>
      <c r="J89">
        <f>'Feature Delivery'!H28</f>
        <v>0</v>
      </c>
      <c r="K89">
        <f>'Feature Delivery'!I28</f>
        <v>0</v>
      </c>
      <c r="L89">
        <f>'Feature Delivery'!J28</f>
        <v>0</v>
      </c>
      <c r="M89">
        <f>'Feature Delivery'!K28</f>
        <v>0</v>
      </c>
      <c r="N89">
        <f>'Feature Delivery'!L28</f>
        <v>0</v>
      </c>
      <c r="O89">
        <f>'Feature Delivery'!M28</f>
        <v>0</v>
      </c>
      <c r="P89">
        <f>'Feature Delivery'!N28</f>
        <v>0</v>
      </c>
    </row>
    <row r="90" spans="1:16" x14ac:dyDescent="0.25">
      <c r="H90" s="61"/>
      <c r="I90" s="61"/>
    </row>
    <row r="91" spans="1:16" x14ac:dyDescent="0.25">
      <c r="H91" s="61"/>
      <c r="I91" s="61"/>
    </row>
    <row r="92" spans="1:16" x14ac:dyDescent="0.25">
      <c r="H92" s="61"/>
      <c r="I92" s="61"/>
    </row>
    <row r="93" spans="1:16" x14ac:dyDescent="0.25">
      <c r="H93" s="61"/>
      <c r="I93" s="61"/>
    </row>
    <row r="94" spans="1:16" x14ac:dyDescent="0.25">
      <c r="H94" s="61"/>
      <c r="I94" s="61"/>
    </row>
    <row r="95" spans="1:16" x14ac:dyDescent="0.25">
      <c r="A95" t="str">
        <f>'Design Systems'!$B$1</f>
        <v>Design Systems</v>
      </c>
      <c r="B95" t="str">
        <f>'Design Systems'!$B$2</f>
        <v>Brent van Zitters</v>
      </c>
      <c r="C95" t="str">
        <f>'Design Systems'!A4</f>
        <v>Public Web</v>
      </c>
      <c r="D95" t="str">
        <f>'Design Systems'!B4</f>
        <v>All</v>
      </c>
      <c r="E95" t="str">
        <f>'Design Systems'!C4</f>
        <v>All</v>
      </c>
      <c r="F95" t="str">
        <f>'Design Systems'!D4</f>
        <v>All</v>
      </c>
      <c r="G95" t="str">
        <f>'Design Systems'!E4</f>
        <v>Design and Develop CI Updates onto OMDSv2</v>
      </c>
      <c r="H95" s="61" t="str">
        <f>IF('Design Systems'!F4="","",'Design Systems'!F4)</f>
        <v>As soon as received</v>
      </c>
      <c r="I95" s="61" t="str">
        <f>IF('Design Systems'!G4="","",'Design Systems'!G4)</f>
        <v/>
      </c>
      <c r="J95">
        <f>'Design Systems'!H4</f>
        <v>10</v>
      </c>
      <c r="K95" s="63">
        <f>'Design Systems'!I4</f>
        <v>0.5</v>
      </c>
      <c r="L95" t="str">
        <f>'Design Systems'!J4</f>
        <v>High</v>
      </c>
      <c r="M95" t="str">
        <f>'Design Systems'!K4</f>
        <v>Yes</v>
      </c>
      <c r="N95" t="str">
        <f>'Design Systems'!L4</f>
        <v>Foundational elements from Design Delivery</v>
      </c>
      <c r="O95" t="str">
        <f>'Design Systems'!M4</f>
        <v>Blocked</v>
      </c>
      <c r="P95">
        <f>'Design Systems'!N4</f>
        <v>0</v>
      </c>
    </row>
    <row r="96" spans="1:16" x14ac:dyDescent="0.25">
      <c r="A96" t="str">
        <f>'Design Systems'!$B$1</f>
        <v>Design Systems</v>
      </c>
      <c r="B96" t="str">
        <f>'Design Systems'!$B$2</f>
        <v>Brent van Zitters</v>
      </c>
      <c r="C96" t="str">
        <f>'Design Systems'!A5</f>
        <v>Public Web</v>
      </c>
      <c r="D96" t="str">
        <f>'Design Systems'!B5</f>
        <v>All</v>
      </c>
      <c r="E96" t="str">
        <f>'Design Systems'!C5</f>
        <v>All</v>
      </c>
      <c r="F96" t="str">
        <f>'Design Systems'!D5</f>
        <v>All</v>
      </c>
      <c r="G96" t="str">
        <f>'Design Systems'!E5</f>
        <v>Design and Develop Top Navigation Component Updates</v>
      </c>
      <c r="H96" s="61">
        <f>IF('Design Systems'!F5="","",'Design Systems'!F5)</f>
        <v>46143</v>
      </c>
      <c r="I96" s="61" t="str">
        <f>IF('Design Systems'!G5="","",'Design Systems'!G5)</f>
        <v/>
      </c>
      <c r="J96">
        <f>'Design Systems'!H5</f>
        <v>20</v>
      </c>
      <c r="K96" s="63">
        <f>'Design Systems'!I5</f>
        <v>0.5</v>
      </c>
      <c r="L96" t="str">
        <f>'Design Systems'!J5</f>
        <v>Critical</v>
      </c>
      <c r="M96" t="str">
        <f>'Design Systems'!K5</f>
        <v>Yes</v>
      </c>
      <c r="N96" t="str">
        <f>'Design Systems'!L5</f>
        <v>Foundational elements from Design Delivery</v>
      </c>
      <c r="O96" t="str">
        <f>'Design Systems'!M5</f>
        <v>In Progress</v>
      </c>
      <c r="P96" t="str">
        <f>'Design Systems'!N5</f>
        <v>Started, but had to pause due to rework upstream.</v>
      </c>
    </row>
    <row r="97" spans="1:16" x14ac:dyDescent="0.25">
      <c r="A97" t="str">
        <f>'Design Systems'!$B$1</f>
        <v>Design Systems</v>
      </c>
      <c r="B97" t="str">
        <f>'Design Systems'!$B$2</f>
        <v>Brent van Zitters</v>
      </c>
      <c r="C97" t="str">
        <f>'Design Systems'!A6</f>
        <v>Secure Web</v>
      </c>
      <c r="D97" t="str">
        <f>'Design Systems'!B6</f>
        <v>All</v>
      </c>
      <c r="E97" t="str">
        <f>'Design Systems'!C6</f>
        <v>All</v>
      </c>
      <c r="F97" t="str">
        <f>'Design Systems'!D6</f>
        <v>All</v>
      </c>
      <c r="G97" t="str">
        <f>'Design Systems'!E6</f>
        <v>Design and Develop Top Navigation Component Updates</v>
      </c>
      <c r="H97" s="61" t="str">
        <f>IF('Design Systems'!F6="","",'Design Systems'!F6)</f>
        <v>As soon as received</v>
      </c>
      <c r="I97" s="61" t="str">
        <f>IF('Design Systems'!G6="","",'Design Systems'!G6)</f>
        <v/>
      </c>
      <c r="J97">
        <f>'Design Systems'!H6</f>
        <v>20</v>
      </c>
      <c r="K97" s="63">
        <f>'Design Systems'!I6</f>
        <v>0.5</v>
      </c>
      <c r="L97" t="str">
        <f>'Design Systems'!J6</f>
        <v>Critical</v>
      </c>
      <c r="M97" t="str">
        <f>'Design Systems'!K6</f>
        <v>Yes</v>
      </c>
      <c r="N97" t="str">
        <f>'Design Systems'!L6</f>
        <v>Foundational elements from Design Delivery</v>
      </c>
      <c r="O97" t="str">
        <f>'Design Systems'!M6</f>
        <v>Not Started</v>
      </c>
      <c r="P97">
        <f>'Design Systems'!N6</f>
        <v>0</v>
      </c>
    </row>
    <row r="98" spans="1:16" x14ac:dyDescent="0.25">
      <c r="A98" t="str">
        <f>'Design Systems'!$B$1</f>
        <v>Design Systems</v>
      </c>
      <c r="B98" t="str">
        <f>'Design Systems'!$B$2</f>
        <v>Brent van Zitters</v>
      </c>
      <c r="C98" t="str">
        <f>'Design Systems'!A7</f>
        <v>Public Web</v>
      </c>
      <c r="D98" t="str">
        <f>'Design Systems'!B7</f>
        <v>All</v>
      </c>
      <c r="E98" t="str">
        <f>'Design Systems'!C7</f>
        <v>All</v>
      </c>
      <c r="F98" t="str">
        <f>'Design Systems'!D7</f>
        <v>All</v>
      </c>
      <c r="G98" t="str">
        <f>'Design Systems'!E7</f>
        <v>Design and Develop Footer Component Updates</v>
      </c>
      <c r="H98" s="61" t="str">
        <f>IF('Design Systems'!F7="","",'Design Systems'!F7)</f>
        <v>As soon as received</v>
      </c>
      <c r="I98" s="61" t="str">
        <f>IF('Design Systems'!G7="","",'Design Systems'!G7)</f>
        <v/>
      </c>
      <c r="J98">
        <f>'Design Systems'!H7</f>
        <v>5</v>
      </c>
      <c r="K98" s="63">
        <f>'Design Systems'!I7</f>
        <v>0.5</v>
      </c>
      <c r="L98" t="str">
        <f>'Design Systems'!J7</f>
        <v>Critical</v>
      </c>
      <c r="M98" t="str">
        <f>'Design Systems'!K7</f>
        <v>Yes</v>
      </c>
      <c r="N98" t="str">
        <f>'Design Systems'!L7</f>
        <v>Foundational elements from Design Delivery</v>
      </c>
      <c r="O98" t="str">
        <f>'Design Systems'!M7</f>
        <v>Not Started</v>
      </c>
      <c r="P98">
        <f>'Design Systems'!N7</f>
        <v>0</v>
      </c>
    </row>
    <row r="99" spans="1:16" x14ac:dyDescent="0.25">
      <c r="A99" t="str">
        <f>'Design Systems'!$B$1</f>
        <v>Design Systems</v>
      </c>
      <c r="B99" t="str">
        <f>'Design Systems'!$B$2</f>
        <v>Brent van Zitters</v>
      </c>
      <c r="C99" t="str">
        <f>'Design Systems'!A8</f>
        <v>Public Web</v>
      </c>
      <c r="D99" t="str">
        <f>'Design Systems'!B8</f>
        <v>All</v>
      </c>
      <c r="E99" t="str">
        <f>'Design Systems'!C8</f>
        <v>All</v>
      </c>
      <c r="F99" t="str">
        <f>'Design Systems'!D8</f>
        <v>All</v>
      </c>
      <c r="G99" t="str">
        <f>'Design Systems'!E8</f>
        <v>Design and Develop Card Component Updates</v>
      </c>
      <c r="H99" s="61" t="str">
        <f>IF('Design Systems'!F8="","",'Design Systems'!F8)</f>
        <v>As soon as received</v>
      </c>
      <c r="I99" s="61" t="str">
        <f>IF('Design Systems'!G8="","",'Design Systems'!G8)</f>
        <v/>
      </c>
      <c r="J99">
        <f>'Design Systems'!H8</f>
        <v>10</v>
      </c>
      <c r="K99" s="63">
        <f>'Design Systems'!I8</f>
        <v>0.5</v>
      </c>
      <c r="L99" t="str">
        <f>'Design Systems'!J8</f>
        <v>Medium</v>
      </c>
      <c r="M99" t="str">
        <f>'Design Systems'!K8</f>
        <v>Yes</v>
      </c>
      <c r="N99" t="str">
        <f>'Design Systems'!L8</f>
        <v>Foundational elements from Design Delivery</v>
      </c>
      <c r="O99" t="str">
        <f>'Design Systems'!M8</f>
        <v>Not Started</v>
      </c>
      <c r="P99">
        <f>'Design Systems'!N8</f>
        <v>0</v>
      </c>
    </row>
    <row r="100" spans="1:16" x14ac:dyDescent="0.25">
      <c r="A100" t="str">
        <f>'Design Systems'!$B$1</f>
        <v>Design Systems</v>
      </c>
      <c r="B100" t="str">
        <f>'Design Systems'!$B$2</f>
        <v>Brent van Zitters</v>
      </c>
      <c r="C100" t="str">
        <f>'Design Systems'!A9</f>
        <v>Public Web</v>
      </c>
      <c r="D100" t="str">
        <f>'Design Systems'!B9</f>
        <v>All</v>
      </c>
      <c r="E100" t="str">
        <f>'Design Systems'!C9</f>
        <v>All</v>
      </c>
      <c r="F100" t="str">
        <f>'Design Systems'!D9</f>
        <v>All</v>
      </c>
      <c r="G100" t="str">
        <f>'Design Systems'!E9</f>
        <v>Design and Develop Category Page Template</v>
      </c>
      <c r="H100" s="61" t="str">
        <f>IF('Design Systems'!F9="","",'Design Systems'!F9)</f>
        <v>As soon as received</v>
      </c>
      <c r="I100" s="61" t="str">
        <f>IF('Design Systems'!G9="","",'Design Systems'!G9)</f>
        <v/>
      </c>
      <c r="J100">
        <f>'Design Systems'!H9</f>
        <v>8</v>
      </c>
      <c r="K100" s="63">
        <f>'Design Systems'!I9</f>
        <v>0.5</v>
      </c>
      <c r="L100" t="str">
        <f>'Design Systems'!J9</f>
        <v>High</v>
      </c>
      <c r="M100" t="str">
        <f>'Design Systems'!K9</f>
        <v>Yes</v>
      </c>
      <c r="N100" t="str">
        <f>'Design Systems'!L9</f>
        <v>Foundational elements from Design Delivery</v>
      </c>
      <c r="O100" t="str">
        <f>'Design Systems'!M9</f>
        <v>Not Started</v>
      </c>
      <c r="P100">
        <f>'Design Systems'!N9</f>
        <v>0</v>
      </c>
    </row>
    <row r="101" spans="1:16" x14ac:dyDescent="0.25">
      <c r="A101" t="str">
        <f>'Design Systems'!$B$1</f>
        <v>Design Systems</v>
      </c>
      <c r="B101" t="str">
        <f>'Design Systems'!$B$2</f>
        <v>Brent van Zitters</v>
      </c>
      <c r="C101" t="str">
        <f>'Design Systems'!A10</f>
        <v>Public Web</v>
      </c>
      <c r="D101" t="str">
        <f>'Design Systems'!B10</f>
        <v>All</v>
      </c>
      <c r="E101" t="str">
        <f>'Design Systems'!C10</f>
        <v>All</v>
      </c>
      <c r="F101" t="str">
        <f>'Design Systems'!D10</f>
        <v>All</v>
      </c>
      <c r="G101" t="str">
        <f>'Design Systems'!E10</f>
        <v>Design and Develop Product Detail Page Template</v>
      </c>
      <c r="H101" s="61" t="str">
        <f>IF('Design Systems'!F10="","",'Design Systems'!F10)</f>
        <v>As soon as received</v>
      </c>
      <c r="I101" s="61" t="str">
        <f>IF('Design Systems'!G10="","",'Design Systems'!G10)</f>
        <v/>
      </c>
      <c r="J101">
        <f>'Design Systems'!H10</f>
        <v>8</v>
      </c>
      <c r="K101" s="63">
        <f>'Design Systems'!I10</f>
        <v>0.5</v>
      </c>
      <c r="L101" t="str">
        <f>'Design Systems'!J10</f>
        <v>High</v>
      </c>
      <c r="M101" t="str">
        <f>'Design Systems'!K10</f>
        <v>Yes</v>
      </c>
      <c r="N101" t="str">
        <f>'Design Systems'!L10</f>
        <v>Foundational elements from Design Delivery</v>
      </c>
      <c r="O101" t="str">
        <f>'Design Systems'!M10</f>
        <v>Not Started</v>
      </c>
      <c r="P101">
        <f>'Design Systems'!N10</f>
        <v>0</v>
      </c>
    </row>
    <row r="102" spans="1:16" x14ac:dyDescent="0.25">
      <c r="A102" t="str">
        <f>'Design Systems'!$B$1</f>
        <v>Design Systems</v>
      </c>
      <c r="B102" t="str">
        <f>'Design Systems'!$B$2</f>
        <v>Brent van Zitters</v>
      </c>
      <c r="C102" t="str">
        <f>'Design Systems'!A11</f>
        <v>Public Web</v>
      </c>
      <c r="D102" t="str">
        <f>'Design Systems'!B11</f>
        <v>All</v>
      </c>
      <c r="E102" t="str">
        <f>'Design Systems'!C11</f>
        <v>All</v>
      </c>
      <c r="F102" t="str">
        <f>'Design Systems'!D11</f>
        <v>All</v>
      </c>
      <c r="G102" t="str">
        <f>'Design Systems'!E11</f>
        <v>Design and Develop Article Page Template</v>
      </c>
      <c r="H102" s="61" t="str">
        <f>IF('Design Systems'!F11="","",'Design Systems'!F11)</f>
        <v>As soon as received</v>
      </c>
      <c r="I102" s="61" t="str">
        <f>IF('Design Systems'!G11="","",'Design Systems'!G11)</f>
        <v/>
      </c>
      <c r="J102">
        <f>'Design Systems'!H11</f>
        <v>3</v>
      </c>
      <c r="K102" s="63">
        <f>'Design Systems'!I11</f>
        <v>0.5</v>
      </c>
      <c r="L102" t="str">
        <f>'Design Systems'!J11</f>
        <v>High</v>
      </c>
      <c r="M102" t="str">
        <f>'Design Systems'!K11</f>
        <v>Yes</v>
      </c>
      <c r="N102" t="str">
        <f>'Design Systems'!L11</f>
        <v>Foundational elements from Design Delivery</v>
      </c>
      <c r="O102" t="str">
        <f>'Design Systems'!M11</f>
        <v>Not Started</v>
      </c>
      <c r="P102">
        <f>'Design Systems'!N11</f>
        <v>0</v>
      </c>
    </row>
    <row r="103" spans="1:16" x14ac:dyDescent="0.25">
      <c r="A103" t="str">
        <f>'Design Systems'!$B$1</f>
        <v>Design Systems</v>
      </c>
      <c r="B103" t="str">
        <f>'Design Systems'!$B$2</f>
        <v>Brent van Zitters</v>
      </c>
      <c r="C103" t="str">
        <f>'Design Systems'!A12</f>
        <v>Public Web</v>
      </c>
      <c r="D103" t="str">
        <f>'Design Systems'!B12</f>
        <v>All</v>
      </c>
      <c r="E103" t="str">
        <f>'Design Systems'!C12</f>
        <v>All</v>
      </c>
      <c r="F103" t="str">
        <f>'Design Systems'!D12</f>
        <v>All</v>
      </c>
      <c r="G103" t="str">
        <f>'Design Systems'!E12</f>
        <v>Design and Develop Hero Banner Component Updates</v>
      </c>
      <c r="H103" s="61" t="str">
        <f>IF('Design Systems'!F12="","",'Design Systems'!F12)</f>
        <v>As soon as received</v>
      </c>
      <c r="I103" s="61" t="str">
        <f>IF('Design Systems'!G12="","",'Design Systems'!G12)</f>
        <v/>
      </c>
      <c r="J103">
        <f>'Design Systems'!H12</f>
        <v>4</v>
      </c>
      <c r="K103" s="63">
        <f>'Design Systems'!I12</f>
        <v>0.5</v>
      </c>
      <c r="L103" t="str">
        <f>'Design Systems'!J12</f>
        <v>Medium</v>
      </c>
      <c r="M103" t="str">
        <f>'Design Systems'!K12</f>
        <v>Yes</v>
      </c>
      <c r="N103" t="str">
        <f>'Design Systems'!L12</f>
        <v>Foundational elements from Design Delivery</v>
      </c>
      <c r="O103" t="str">
        <f>'Design Systems'!M12</f>
        <v>Not Started</v>
      </c>
      <c r="P103">
        <f>'Design Systems'!N12</f>
        <v>0</v>
      </c>
    </row>
    <row r="104" spans="1:16" x14ac:dyDescent="0.25">
      <c r="A104" t="str">
        <f>'Design Systems'!$B$1</f>
        <v>Design Systems</v>
      </c>
      <c r="B104" t="str">
        <f>'Design Systems'!$B$2</f>
        <v>Brent van Zitters</v>
      </c>
      <c r="C104" t="str">
        <f>'Design Systems'!A13</f>
        <v>Public Web</v>
      </c>
      <c r="D104" t="str">
        <f>'Design Systems'!B13</f>
        <v>All</v>
      </c>
      <c r="E104" t="str">
        <f>'Design Systems'!C13</f>
        <v>All</v>
      </c>
      <c r="F104" t="str">
        <f>'Design Systems'!D13</f>
        <v>All</v>
      </c>
      <c r="G104" t="str">
        <f>'Design Systems'!E13</f>
        <v>Design and Develop Landing page template</v>
      </c>
      <c r="H104" s="61" t="str">
        <f>IF('Design Systems'!F13="","",'Design Systems'!F13)</f>
        <v>As soon as received</v>
      </c>
      <c r="I104" s="61" t="str">
        <f>IF('Design Systems'!G13="","",'Design Systems'!G13)</f>
        <v/>
      </c>
      <c r="J104" t="e">
        <f>'Design Systems'!H13</f>
        <v>#VALUE!</v>
      </c>
      <c r="K104">
        <f>'Design Systems'!I13</f>
        <v>0.5</v>
      </c>
      <c r="L104" t="str">
        <f>'Design Systems'!J13</f>
        <v>Medium</v>
      </c>
      <c r="M104" t="str">
        <f>'Design Systems'!K13</f>
        <v>Yes</v>
      </c>
      <c r="N104" t="str">
        <f>'Design Systems'!L13</f>
        <v>Foundational elements from Design Delivery</v>
      </c>
      <c r="O104" t="str">
        <f>'Design Systems'!M13</f>
        <v>Not Started</v>
      </c>
      <c r="P104">
        <f>'Design Systems'!N13</f>
        <v>0</v>
      </c>
    </row>
    <row r="105" spans="1:16" x14ac:dyDescent="0.25">
      <c r="A105" t="str">
        <f>'Design Systems'!$B$1</f>
        <v>Design Systems</v>
      </c>
      <c r="B105" t="str">
        <f>'Design Systems'!$B$2</f>
        <v>Brent van Zitters</v>
      </c>
      <c r="C105" t="str">
        <f>'Design Systems'!A14</f>
        <v>Public Web</v>
      </c>
      <c r="D105" t="str">
        <f>'Design Systems'!B14</f>
        <v>All</v>
      </c>
      <c r="E105" t="str">
        <f>'Design Systems'!C14</f>
        <v>All</v>
      </c>
      <c r="F105" t="str">
        <f>'Design Systems'!D14</f>
        <v>All</v>
      </c>
      <c r="G105" t="str">
        <f>'Design Systems'!E14</f>
        <v>Design and Develop Section page template</v>
      </c>
      <c r="H105" s="61" t="str">
        <f>IF('Design Systems'!F14="","",'Design Systems'!F14)</f>
        <v>As soon as received</v>
      </c>
      <c r="I105" s="61" t="str">
        <f>IF('Design Systems'!G14="","",'Design Systems'!G14)</f>
        <v/>
      </c>
      <c r="J105" t="e">
        <f>'Design Systems'!H14</f>
        <v>#VALUE!</v>
      </c>
      <c r="K105">
        <f>'Design Systems'!I14</f>
        <v>0.5</v>
      </c>
      <c r="L105" t="str">
        <f>'Design Systems'!J14</f>
        <v>Medium</v>
      </c>
      <c r="M105" t="str">
        <f>'Design Systems'!K14</f>
        <v>Yes</v>
      </c>
      <c r="N105" t="str">
        <f>'Design Systems'!L14</f>
        <v>Foundational elements from Design Delivery</v>
      </c>
      <c r="O105" t="str">
        <f>'Design Systems'!M14</f>
        <v>Not Started</v>
      </c>
      <c r="P105">
        <f>'Design Systems'!N14</f>
        <v>0</v>
      </c>
    </row>
    <row r="106" spans="1:16" x14ac:dyDescent="0.25">
      <c r="A106" t="str">
        <f>'Design Systems'!$B$1</f>
        <v>Design Systems</v>
      </c>
      <c r="B106" t="str">
        <f>'Design Systems'!$B$2</f>
        <v>Brent van Zitters</v>
      </c>
      <c r="C106" t="str">
        <f>'Design Systems'!A15</f>
        <v>Public Web</v>
      </c>
      <c r="D106" t="str">
        <f>'Design Systems'!B15</f>
        <v>All</v>
      </c>
      <c r="E106" t="str">
        <f>'Design Systems'!C15</f>
        <v>All</v>
      </c>
      <c r="F106" t="str">
        <f>'Design Systems'!D15</f>
        <v>All</v>
      </c>
      <c r="G106" t="str">
        <f>'Design Systems'!E15</f>
        <v>Design and Develop Utility Template: Contact Us</v>
      </c>
      <c r="H106" s="61" t="str">
        <f>IF('Design Systems'!F15="","",'Design Systems'!F15)</f>
        <v>As soon as received</v>
      </c>
      <c r="I106" s="61" t="str">
        <f>IF('Design Systems'!G15="","",'Design Systems'!G15)</f>
        <v/>
      </c>
      <c r="J106" t="e">
        <f>'Design Systems'!H15</f>
        <v>#VALUE!</v>
      </c>
      <c r="K106">
        <f>'Design Systems'!I15</f>
        <v>0.5</v>
      </c>
      <c r="L106" t="str">
        <f>'Design Systems'!J15</f>
        <v>Medium</v>
      </c>
      <c r="M106" t="str">
        <f>'Design Systems'!K15</f>
        <v>Yes</v>
      </c>
      <c r="N106" t="str">
        <f>'Design Systems'!L15</f>
        <v>Foundational elements from Design Delivery</v>
      </c>
      <c r="O106" t="str">
        <f>'Design Systems'!M15</f>
        <v>Not Started</v>
      </c>
      <c r="P106">
        <f>'Design Systems'!N15</f>
        <v>0</v>
      </c>
    </row>
    <row r="107" spans="1:16" x14ac:dyDescent="0.25">
      <c r="A107" t="str">
        <f>'Design Systems'!$B$1</f>
        <v>Design Systems</v>
      </c>
      <c r="B107" t="str">
        <f>'Design Systems'!$B$2</f>
        <v>Brent van Zitters</v>
      </c>
      <c r="C107" t="str">
        <f>'Design Systems'!A16</f>
        <v>Public Web</v>
      </c>
      <c r="D107" t="str">
        <f>'Design Systems'!B16</f>
        <v>All</v>
      </c>
      <c r="E107" t="str">
        <f>'Design Systems'!C16</f>
        <v>All</v>
      </c>
      <c r="F107" t="str">
        <f>'Design Systems'!D16</f>
        <v>All</v>
      </c>
      <c r="G107" t="str">
        <f>'Design Systems'!E16</f>
        <v>Design and Develop Utility Template: All Calculators</v>
      </c>
      <c r="H107" s="61" t="str">
        <f>IF('Design Systems'!F16="","",'Design Systems'!F16)</f>
        <v>As soon as received</v>
      </c>
      <c r="I107" s="61" t="str">
        <f>IF('Design Systems'!G16="","",'Design Systems'!G16)</f>
        <v/>
      </c>
      <c r="J107" t="e">
        <f>'Design Systems'!H16</f>
        <v>#VALUE!</v>
      </c>
      <c r="K107">
        <f>'Design Systems'!I16</f>
        <v>0.5</v>
      </c>
      <c r="L107" t="str">
        <f>'Design Systems'!J16</f>
        <v>Medium</v>
      </c>
      <c r="M107" t="str">
        <f>'Design Systems'!K16</f>
        <v>Yes</v>
      </c>
      <c r="N107" t="str">
        <f>'Design Systems'!L16</f>
        <v>Foundational elements from Design Delivery</v>
      </c>
      <c r="O107" t="str">
        <f>'Design Systems'!M16</f>
        <v>Not Started</v>
      </c>
      <c r="P107">
        <f>'Design Systems'!N16</f>
        <v>0</v>
      </c>
    </row>
    <row r="108" spans="1:16" x14ac:dyDescent="0.25">
      <c r="A108" t="str">
        <f>'Design Systems'!$B$1</f>
        <v>Design Systems</v>
      </c>
      <c r="B108" t="str">
        <f>'Design Systems'!$B$2</f>
        <v>Brent van Zitters</v>
      </c>
      <c r="C108" t="str">
        <f>'Design Systems'!A17</f>
        <v>Public Web</v>
      </c>
      <c r="D108" t="str">
        <f>'Design Systems'!B17</f>
        <v>All</v>
      </c>
      <c r="E108" t="str">
        <f>'Design Systems'!C17</f>
        <v>All</v>
      </c>
      <c r="F108" t="str">
        <f>'Design Systems'!D17</f>
        <v>All</v>
      </c>
      <c r="G108" t="str">
        <f>'Design Systems'!E17</f>
        <v>Design and Develop Utility Template: Calculators Page</v>
      </c>
      <c r="H108" s="61" t="str">
        <f>IF('Design Systems'!F17="","",'Design Systems'!F17)</f>
        <v>As soon as received</v>
      </c>
      <c r="I108" s="61" t="str">
        <f>IF('Design Systems'!G17="","",'Design Systems'!G17)</f>
        <v/>
      </c>
      <c r="J108" t="e">
        <f>'Design Systems'!H17</f>
        <v>#VALUE!</v>
      </c>
      <c r="K108">
        <f>'Design Systems'!I17</f>
        <v>0.5</v>
      </c>
      <c r="L108" t="str">
        <f>'Design Systems'!J17</f>
        <v>Medium</v>
      </c>
      <c r="M108" t="str">
        <f>'Design Systems'!K17</f>
        <v>Yes</v>
      </c>
      <c r="N108" t="str">
        <f>'Design Systems'!L17</f>
        <v>Foundational elements from Design Delivery</v>
      </c>
      <c r="O108" t="str">
        <f>'Design Systems'!M17</f>
        <v>Not Started</v>
      </c>
      <c r="P108">
        <f>'Design Systems'!N17</f>
        <v>0</v>
      </c>
    </row>
    <row r="109" spans="1:16" x14ac:dyDescent="0.25">
      <c r="A109" t="str">
        <f>'Design Systems'!$B$1</f>
        <v>Design Systems</v>
      </c>
      <c r="B109" t="str">
        <f>'Design Systems'!$B$2</f>
        <v>Brent van Zitters</v>
      </c>
      <c r="C109" t="str">
        <f>'Design Systems'!A18</f>
        <v>Public Web</v>
      </c>
      <c r="D109" t="str">
        <f>'Design Systems'!B18</f>
        <v>All</v>
      </c>
      <c r="E109" t="str">
        <f>'Design Systems'!C18</f>
        <v>All</v>
      </c>
      <c r="F109" t="str">
        <f>'Design Systems'!D18</f>
        <v>All</v>
      </c>
      <c r="G109" t="str">
        <f>'Design Systems'!E18</f>
        <v>Design and Develop Utility Templates: About Us</v>
      </c>
      <c r="H109" s="61" t="str">
        <f>IF('Design Systems'!F18="","",'Design Systems'!F18)</f>
        <v>As soon as received</v>
      </c>
      <c r="I109" s="61" t="str">
        <f>IF('Design Systems'!G18="","",'Design Systems'!G18)</f>
        <v/>
      </c>
      <c r="J109" t="e">
        <f>'Design Systems'!H18</f>
        <v>#VALUE!</v>
      </c>
      <c r="K109">
        <f>'Design Systems'!I18</f>
        <v>0.5</v>
      </c>
      <c r="L109" t="str">
        <f>'Design Systems'!J18</f>
        <v>Medium</v>
      </c>
      <c r="M109" t="str">
        <f>'Design Systems'!K18</f>
        <v>Yes</v>
      </c>
      <c r="N109" t="str">
        <f>'Design Systems'!L18</f>
        <v>Foundational elements from Design Delivery</v>
      </c>
      <c r="O109" t="str">
        <f>'Design Systems'!M18</f>
        <v>Not Started</v>
      </c>
      <c r="P109">
        <f>'Design Systems'!N18</f>
        <v>0</v>
      </c>
    </row>
    <row r="110" spans="1:16" x14ac:dyDescent="0.25">
      <c r="A110" t="str">
        <f>'Design Systems'!$B$1</f>
        <v>Design Systems</v>
      </c>
      <c r="B110" t="str">
        <f>'Design Systems'!$B$2</f>
        <v>Brent van Zitters</v>
      </c>
      <c r="C110" t="str">
        <f>'Design Systems'!A19</f>
        <v>Public Web</v>
      </c>
      <c r="D110" t="str">
        <f>'Design Systems'!B19</f>
        <v>All</v>
      </c>
      <c r="E110" t="str">
        <f>'Design Systems'!C19</f>
        <v>All</v>
      </c>
      <c r="F110" t="str">
        <f>'Design Systems'!D19</f>
        <v>All</v>
      </c>
      <c r="G110" t="str">
        <f>'Design Systems'!E19</f>
        <v>Design and Develop Utility Template: Careers</v>
      </c>
      <c r="H110" s="61" t="str">
        <f>IF('Design Systems'!F19="","",'Design Systems'!F19)</f>
        <v>As soon as received</v>
      </c>
      <c r="I110" s="61" t="str">
        <f>IF('Design Systems'!G19="","",'Design Systems'!G19)</f>
        <v/>
      </c>
      <c r="J110" t="e">
        <f>'Design Systems'!H19</f>
        <v>#VALUE!</v>
      </c>
      <c r="K110">
        <f>'Design Systems'!I19</f>
        <v>0.5</v>
      </c>
      <c r="L110" t="str">
        <f>'Design Systems'!J19</f>
        <v>Medium</v>
      </c>
      <c r="M110" t="str">
        <f>'Design Systems'!K19</f>
        <v>Yes</v>
      </c>
      <c r="N110" t="str">
        <f>'Design Systems'!L19</f>
        <v>Foundational elements from Design Delivery</v>
      </c>
      <c r="O110" t="str">
        <f>'Design Systems'!M19</f>
        <v>Not Started</v>
      </c>
      <c r="P110">
        <f>'Design Systems'!N19</f>
        <v>0</v>
      </c>
    </row>
    <row r="111" spans="1:16" x14ac:dyDescent="0.25">
      <c r="H111" s="61"/>
      <c r="I111" s="61"/>
    </row>
    <row r="112" spans="1:16" x14ac:dyDescent="0.25">
      <c r="H112" s="61"/>
      <c r="I112" s="61"/>
    </row>
    <row r="113" spans="1:16" x14ac:dyDescent="0.25">
      <c r="H113" s="61"/>
      <c r="I113" s="61"/>
    </row>
    <row r="114" spans="1:16" x14ac:dyDescent="0.25">
      <c r="H114" s="61"/>
      <c r="I114" s="61"/>
    </row>
    <row r="115" spans="1:16" x14ac:dyDescent="0.25">
      <c r="A115" t="str">
        <f>'Execution '!$B$1</f>
        <v>Execution</v>
      </c>
      <c r="B115">
        <f>'Execution '!$B$2</f>
        <v>0</v>
      </c>
      <c r="C115" t="str">
        <f>'Execution '!A4</f>
        <v>Public Web</v>
      </c>
      <c r="D115" t="str">
        <f>'Execution '!B4</f>
        <v>OMCOM</v>
      </c>
      <c r="E115" t="str">
        <f>'Execution '!C4</f>
        <v>All</v>
      </c>
      <c r="F115" t="str">
        <f>'Execution '!D4</f>
        <v>OM</v>
      </c>
      <c r="G115" t="str">
        <f>'Execution '!E4</f>
        <v>Implement OMCOM into production</v>
      </c>
      <c r="H115">
        <f>'Execution '!F4</f>
        <v>46181</v>
      </c>
      <c r="I115">
        <f>'Execution '!G4</f>
        <v>46185</v>
      </c>
      <c r="J115">
        <f>'Execution '!H4</f>
        <v>5</v>
      </c>
      <c r="K115">
        <f>'Execution '!I4</f>
        <v>0.7</v>
      </c>
      <c r="L115" t="str">
        <f>'Execution '!J4</f>
        <v>High</v>
      </c>
      <c r="M115" t="str">
        <f>'Execution '!K4</f>
        <v>Yes</v>
      </c>
      <c r="N115" t="str">
        <f>'Execution '!L4</f>
        <v>Stakeholder sign off</v>
      </c>
      <c r="O115" t="str">
        <f>'Execution '!M4</f>
        <v>In Progress</v>
      </c>
      <c r="P115" t="str">
        <f>'Execution '!N4</f>
        <v>Awaiting stakeholder approval</v>
      </c>
    </row>
    <row r="116" spans="1:16" x14ac:dyDescent="0.25">
      <c r="A116" t="str">
        <f>'Execution '!$B$1</f>
        <v>Execution</v>
      </c>
      <c r="B116">
        <f>'Execution '!$B$2</f>
        <v>0</v>
      </c>
      <c r="C116" t="str">
        <f>'Execution '!A5</f>
        <v>Public Web</v>
      </c>
      <c r="D116" t="str">
        <f>'Execution '!B5</f>
        <v>OMCOZA, OMCOM, Bula-tsela, Malawi</v>
      </c>
      <c r="E116" t="str">
        <f>'Execution '!C5</f>
        <v>Entire site</v>
      </c>
      <c r="F116">
        <f>'Execution '!D5</f>
        <v>0</v>
      </c>
      <c r="G116" t="str">
        <f>'Execution '!E5</f>
        <v>Dev: Co-locating Content &amp; Analytics Tagging</v>
      </c>
      <c r="H116">
        <f>'Execution '!F5</f>
        <v>46188</v>
      </c>
      <c r="I116">
        <f>'Execution '!G5</f>
        <v>46192</v>
      </c>
      <c r="J116">
        <f>'Execution '!H5</f>
        <v>5</v>
      </c>
      <c r="K116">
        <f>'Execution '!I5</f>
        <v>0.9</v>
      </c>
      <c r="L116" t="str">
        <f>'Execution '!J5</f>
        <v>Critical</v>
      </c>
      <c r="M116" t="str">
        <f>'Execution '!K5</f>
        <v>No</v>
      </c>
      <c r="N116">
        <f>'Execution '!L5</f>
        <v>0</v>
      </c>
      <c r="O116" t="str">
        <f>'Execution '!M5</f>
        <v>Not Started</v>
      </c>
      <c r="P116" t="str">
        <f>'Execution '!N5</f>
        <v>Creating new content_types and updating existing content_types in ContentStack</v>
      </c>
    </row>
    <row r="117" spans="1:16" x14ac:dyDescent="0.25">
      <c r="A117" t="str">
        <f>'Execution '!$B$1</f>
        <v>Execution</v>
      </c>
      <c r="B117">
        <f>'Execution '!$B$2</f>
        <v>0</v>
      </c>
      <c r="C117" t="str">
        <f>'Execution '!A6</f>
        <v>Public Web</v>
      </c>
      <c r="D117" t="str">
        <f>'Execution '!B6</f>
        <v>OMCOZA, OMCOM, Bula-tsela, Malawi</v>
      </c>
      <c r="E117" t="str">
        <f>'Execution '!C6</f>
        <v>Entire site</v>
      </c>
      <c r="F117">
        <f>'Execution '!D6</f>
        <v>0</v>
      </c>
      <c r="G117" t="str">
        <f>'Execution '!E6</f>
        <v>Dev: Applying Analytics Tracking to V2 Components</v>
      </c>
      <c r="H117">
        <f>'Execution '!F6</f>
        <v>46196</v>
      </c>
      <c r="I117">
        <f>'Execution '!G6</f>
        <v>46203</v>
      </c>
      <c r="J117">
        <f>'Execution '!H6</f>
        <v>6</v>
      </c>
      <c r="K117">
        <f>'Execution '!I6</f>
        <v>0.7</v>
      </c>
      <c r="L117" t="str">
        <f>'Execution '!J6</f>
        <v>Critical</v>
      </c>
      <c r="M117" t="str">
        <f>'Execution '!K6</f>
        <v>No</v>
      </c>
      <c r="N117">
        <f>'Execution '!L6</f>
        <v>0</v>
      </c>
      <c r="O117" t="str">
        <f>'Execution '!M6</f>
        <v>Not Started</v>
      </c>
      <c r="P117" t="str">
        <f>'Execution '!N6</f>
        <v>Awaits co-location of Content with Analytics Tagging in ContentStack (where applicable)</v>
      </c>
    </row>
    <row r="118" spans="1:16" x14ac:dyDescent="0.25">
      <c r="A118" t="str">
        <f>'Execution '!$B$1</f>
        <v>Execution</v>
      </c>
      <c r="B118">
        <f>'Execution '!$B$2</f>
        <v>0</v>
      </c>
      <c r="C118" t="str">
        <f>'Execution '!A7</f>
        <v>Public Web</v>
      </c>
      <c r="D118" t="str">
        <f>'Execution '!B7</f>
        <v>N/A</v>
      </c>
      <c r="E118" t="str">
        <f>'Execution '!C7</f>
        <v>N/A</v>
      </c>
      <c r="F118">
        <f>'Execution '!D7</f>
        <v>0</v>
      </c>
      <c r="G118" t="str">
        <f>'Execution '!E7</f>
        <v>Dev: DevOps Quality Gate Pipeline</v>
      </c>
      <c r="H118">
        <f>'Execution '!F7</f>
        <v>46188</v>
      </c>
      <c r="I118">
        <f>'Execution '!G7</f>
        <v>46192</v>
      </c>
      <c r="J118">
        <f>'Execution '!H7</f>
        <v>5</v>
      </c>
      <c r="K118">
        <f>'Execution '!I7</f>
        <v>0.7</v>
      </c>
      <c r="L118" t="str">
        <f>'Execution '!J7</f>
        <v>High</v>
      </c>
      <c r="M118" t="str">
        <f>'Execution '!K7</f>
        <v>No</v>
      </c>
      <c r="N118">
        <f>'Execution '!L7</f>
        <v>0</v>
      </c>
      <c r="O118" t="str">
        <f>'Execution '!M7</f>
        <v>Not Started</v>
      </c>
      <c r="P118">
        <f>'Execution '!N7</f>
        <v>0</v>
      </c>
    </row>
    <row r="119" spans="1:16" x14ac:dyDescent="0.25">
      <c r="A119" t="str">
        <f>'Execution '!$B$1</f>
        <v>Execution</v>
      </c>
      <c r="B119">
        <f>'Execution '!$B$2</f>
        <v>0</v>
      </c>
      <c r="C119" t="str">
        <f>'Execution '!A8</f>
        <v>Secure Web</v>
      </c>
      <c r="D119" t="str">
        <f>'Execution '!B8</f>
        <v>N/A</v>
      </c>
      <c r="E119" t="str">
        <f>'Execution '!C8</f>
        <v>N/A</v>
      </c>
      <c r="F119">
        <f>'Execution '!D8</f>
        <v>0</v>
      </c>
      <c r="G119" t="str">
        <f>'Execution '!E8</f>
        <v>Dev: DevOps Quality Gate Pipeline</v>
      </c>
      <c r="H119">
        <f>'Execution '!F8</f>
        <v>46195</v>
      </c>
      <c r="I119">
        <f>'Execution '!G8</f>
        <v>46202</v>
      </c>
      <c r="J119">
        <f>'Execution '!H8</f>
        <v>5</v>
      </c>
      <c r="K119">
        <f>'Execution '!I8</f>
        <v>0.7</v>
      </c>
      <c r="L119" t="str">
        <f>'Execution '!J8</f>
        <v>High</v>
      </c>
      <c r="M119" t="str">
        <f>'Execution '!K8</f>
        <v>No</v>
      </c>
      <c r="N119" t="str">
        <f>'Execution '!L8</f>
        <v>N/A</v>
      </c>
      <c r="O119" t="str">
        <f>'Execution '!M8</f>
        <v>Not Started</v>
      </c>
      <c r="P119">
        <f>'Execution '!N8</f>
        <v>0</v>
      </c>
    </row>
    <row r="120" spans="1:16" x14ac:dyDescent="0.25">
      <c r="A120" t="str">
        <f>'Execution '!$B$1</f>
        <v>Execution</v>
      </c>
      <c r="B120">
        <f>'Execution '!$B$2</f>
        <v>0</v>
      </c>
      <c r="C120" t="str">
        <f>'Execution '!A9</f>
        <v>Public Web</v>
      </c>
      <c r="D120" t="str">
        <f>'Execution '!B9</f>
        <v>N/A</v>
      </c>
      <c r="E120" t="str">
        <f>'Execution '!C9</f>
        <v>N/A</v>
      </c>
      <c r="F120">
        <f>'Execution '!D9</f>
        <v>0</v>
      </c>
      <c r="G120" t="str">
        <f>'Execution '!E9</f>
        <v>QE: Automated Testing Framework</v>
      </c>
      <c r="H120">
        <f>'Execution '!F9</f>
        <v>46188</v>
      </c>
      <c r="I120">
        <f>'Execution '!G9</f>
        <v>46192</v>
      </c>
      <c r="J120">
        <f>'Execution '!H9</f>
        <v>5</v>
      </c>
      <c r="K120">
        <f>'Execution '!I9</f>
        <v>0.7</v>
      </c>
      <c r="L120" t="str">
        <f>'Execution '!J9</f>
        <v>High</v>
      </c>
      <c r="M120" t="str">
        <f>'Execution '!K9</f>
        <v>No</v>
      </c>
      <c r="N120" t="str">
        <f>'Execution '!L9</f>
        <v>N/A</v>
      </c>
      <c r="O120" t="str">
        <f>'Execution '!M9</f>
        <v>Not Started</v>
      </c>
      <c r="P120">
        <f>'Execution '!N9</f>
        <v>0</v>
      </c>
    </row>
    <row r="121" spans="1:16" x14ac:dyDescent="0.25">
      <c r="A121" t="str">
        <f>'Execution '!$B$1</f>
        <v>Execution</v>
      </c>
      <c r="B121">
        <f>'Execution '!$B$2</f>
        <v>0</v>
      </c>
      <c r="C121" t="str">
        <f>'Execution '!A10</f>
        <v>Public Web</v>
      </c>
      <c r="D121" t="str">
        <f>'Execution '!B10</f>
        <v>N/A</v>
      </c>
      <c r="E121" t="str">
        <f>'Execution '!C10</f>
        <v>N/A</v>
      </c>
      <c r="F121">
        <f>'Execution '!D10</f>
        <v>0</v>
      </c>
      <c r="G121" t="str">
        <f>'Execution '!E10</f>
        <v>Dev/QE: DevOps - Integrate Automated Testing</v>
      </c>
      <c r="H121">
        <f>'Execution '!F10</f>
        <v>46195</v>
      </c>
      <c r="I121">
        <f>'Execution '!G10</f>
        <v>46202</v>
      </c>
      <c r="J121">
        <f>'Execution '!H10</f>
        <v>5</v>
      </c>
      <c r="K121">
        <f>'Execution '!I10</f>
        <v>0.6</v>
      </c>
      <c r="L121" t="str">
        <f>'Execution '!J10</f>
        <v>High</v>
      </c>
      <c r="M121" t="str">
        <f>'Execution '!K10</f>
        <v>No</v>
      </c>
      <c r="N121" t="str">
        <f>'Execution '!L10</f>
        <v>N/A</v>
      </c>
      <c r="O121" t="str">
        <f>'Execution '!M10</f>
        <v>Not Started</v>
      </c>
      <c r="P121">
        <f>'Execution '!N10</f>
        <v>0</v>
      </c>
    </row>
    <row r="122" spans="1:16" x14ac:dyDescent="0.25">
      <c r="A122" t="str">
        <f>'Execution '!$B$1</f>
        <v>Execution</v>
      </c>
      <c r="B122">
        <f>'Execution '!$B$2</f>
        <v>0</v>
      </c>
      <c r="C122" t="str">
        <f>'Execution '!A11</f>
        <v>Secure Web</v>
      </c>
      <c r="D122" t="str">
        <f>'Execution '!B11</f>
        <v>N/A</v>
      </c>
      <c r="E122" t="str">
        <f>'Execution '!C11</f>
        <v>N/A</v>
      </c>
      <c r="F122">
        <f>'Execution '!D11</f>
        <v>0</v>
      </c>
      <c r="G122" t="str">
        <f>'Execution '!E11</f>
        <v>QE: Automated Testing Framework</v>
      </c>
      <c r="H122">
        <f>'Execution '!F11</f>
        <v>46195</v>
      </c>
      <c r="I122">
        <f>'Execution '!G11</f>
        <v>46202</v>
      </c>
      <c r="J122">
        <f>'Execution '!H11</f>
        <v>5</v>
      </c>
      <c r="K122">
        <f>'Execution '!I11</f>
        <v>0.7</v>
      </c>
      <c r="L122" t="str">
        <f>'Execution '!J11</f>
        <v>High</v>
      </c>
      <c r="M122" t="str">
        <f>'Execution '!K11</f>
        <v>No</v>
      </c>
      <c r="N122" t="str">
        <f>'Execution '!L11</f>
        <v>N/A</v>
      </c>
      <c r="O122" t="str">
        <f>'Execution '!M11</f>
        <v>Not Started</v>
      </c>
      <c r="P122">
        <f>'Execution '!N11</f>
        <v>0</v>
      </c>
    </row>
    <row r="123" spans="1:16" x14ac:dyDescent="0.25">
      <c r="A123" t="str">
        <f>'Execution '!$B$1</f>
        <v>Execution</v>
      </c>
      <c r="B123">
        <f>'Execution '!$B$2</f>
        <v>0</v>
      </c>
      <c r="C123" t="str">
        <f>'Execution '!A12</f>
        <v>Secure Web</v>
      </c>
      <c r="D123" t="str">
        <f>'Execution '!B12</f>
        <v>N/A</v>
      </c>
      <c r="E123" t="str">
        <f>'Execution '!C12</f>
        <v>N/A</v>
      </c>
      <c r="F123">
        <f>'Execution '!D12</f>
        <v>0</v>
      </c>
      <c r="G123" t="str">
        <f>'Execution '!E12</f>
        <v>Dev/QE: DevOps - Integrate Automated Testing</v>
      </c>
      <c r="H123">
        <f>'Execution '!F12</f>
        <v>46202</v>
      </c>
      <c r="I123">
        <f>'Execution '!G12</f>
        <v>46206</v>
      </c>
      <c r="J123">
        <f>'Execution '!H12</f>
        <v>5</v>
      </c>
      <c r="K123">
        <f>'Execution '!I12</f>
        <v>0.6</v>
      </c>
      <c r="L123" t="str">
        <f>'Execution '!J12</f>
        <v>High</v>
      </c>
      <c r="M123" t="str">
        <f>'Execution '!K12</f>
        <v>No</v>
      </c>
      <c r="N123" t="str">
        <f>'Execution '!L12</f>
        <v>N/A</v>
      </c>
      <c r="O123" t="str">
        <f>'Execution '!M12</f>
        <v>Not Started</v>
      </c>
      <c r="P123">
        <f>'Execution '!N12</f>
        <v>0</v>
      </c>
    </row>
    <row r="124" spans="1:16" x14ac:dyDescent="0.25">
      <c r="A124" t="str">
        <f>'Execution '!$B$1</f>
        <v>Execution</v>
      </c>
      <c r="B124">
        <f>'Execution '!$B$2</f>
        <v>0</v>
      </c>
      <c r="C124" t="str">
        <f>'Execution '!A13</f>
        <v>Public Web</v>
      </c>
      <c r="D124" t="str">
        <f>'Execution '!B13</f>
        <v>N/A</v>
      </c>
      <c r="E124" t="str">
        <f>'Execution '!C13</f>
        <v>N/A</v>
      </c>
      <c r="F124">
        <f>'Execution '!D13</f>
        <v>0</v>
      </c>
      <c r="G124" t="str">
        <f>'Execution '!E13</f>
        <v>Dev: Observability Dashboard Templates for Sites</v>
      </c>
      <c r="H124">
        <f>'Execution '!F13</f>
        <v>46188</v>
      </c>
      <c r="I124">
        <f>'Execution '!G13</f>
        <v>46195</v>
      </c>
      <c r="J124">
        <f>'Execution '!H13</f>
        <v>6</v>
      </c>
      <c r="K124">
        <f>'Execution '!I13</f>
        <v>0.7</v>
      </c>
      <c r="L124" t="str">
        <f>'Execution '!J13</f>
        <v>Critical</v>
      </c>
      <c r="M124" t="str">
        <f>'Execution '!K13</f>
        <v>No</v>
      </c>
      <c r="N124" t="str">
        <f>'Execution '!L13</f>
        <v>N/A</v>
      </c>
      <c r="O124" t="str">
        <f>'Execution '!M13</f>
        <v>Not Started</v>
      </c>
      <c r="P124">
        <f>'Execution '!N13</f>
        <v>0</v>
      </c>
    </row>
    <row r="125" spans="1:16" x14ac:dyDescent="0.25">
      <c r="A125" t="str">
        <f>'Execution '!$B$1</f>
        <v>Execution</v>
      </c>
      <c r="B125">
        <f>'Execution '!$B$2</f>
        <v>0</v>
      </c>
      <c r="C125" t="str">
        <f>'Execution '!A14</f>
        <v>Secure Web</v>
      </c>
      <c r="D125" t="str">
        <f>'Execution '!B14</f>
        <v>N/A</v>
      </c>
      <c r="E125" t="str">
        <f>'Execution '!C14</f>
        <v>N/A</v>
      </c>
      <c r="F125">
        <f>'Execution '!D14</f>
        <v>0</v>
      </c>
      <c r="G125" t="str">
        <f>'Execution '!E14</f>
        <v>Dev: Observability Dashboard Templates for Sites</v>
      </c>
      <c r="H125">
        <f>'Execution '!F14</f>
        <v>46202</v>
      </c>
      <c r="I125">
        <f>'Execution '!G14</f>
        <v>46204</v>
      </c>
      <c r="J125">
        <f>'Execution '!H14</f>
        <v>3</v>
      </c>
      <c r="K125">
        <f>'Execution '!I14</f>
        <v>0.7</v>
      </c>
      <c r="L125" t="str">
        <f>'Execution '!J14</f>
        <v>Critical</v>
      </c>
      <c r="M125" t="str">
        <f>'Execution '!K14</f>
        <v>Yes</v>
      </c>
      <c r="N125" t="str">
        <f>'Execution '!L14</f>
        <v>V2 DesignSystem update</v>
      </c>
      <c r="O125" t="str">
        <f>'Execution '!M14</f>
        <v>Not Started</v>
      </c>
      <c r="P125" t="str">
        <f>'Execution '!N14</f>
        <v>Awaiting update to current V2 DesignSystem to allow for different background color</v>
      </c>
    </row>
    <row r="126" spans="1:16" x14ac:dyDescent="0.25">
      <c r="A126" t="str">
        <f>'Execution '!$B$1</f>
        <v>Execution</v>
      </c>
      <c r="B126">
        <f>'Execution '!$B$2</f>
        <v>0</v>
      </c>
      <c r="C126" t="str">
        <f>'Execution '!A16</f>
        <v>Public Web</v>
      </c>
      <c r="D126">
        <f>'Execution '!B16</f>
        <v>0</v>
      </c>
      <c r="E126">
        <f>'Execution '!C16</f>
        <v>0</v>
      </c>
      <c r="F126">
        <f>'Execution '!D16</f>
        <v>0</v>
      </c>
      <c r="G126">
        <f>'Execution '!E16</f>
        <v>0</v>
      </c>
      <c r="H126" t="str">
        <f>'Execution '!F16</f>
        <v>July Tasks from here</v>
      </c>
      <c r="I126">
        <f>'Execution '!G16</f>
        <v>0</v>
      </c>
      <c r="J126">
        <f>'Execution '!H16</f>
        <v>0</v>
      </c>
      <c r="K126">
        <f>'Execution '!I16</f>
        <v>0</v>
      </c>
      <c r="L126">
        <f>'Execution '!J16</f>
        <v>0</v>
      </c>
      <c r="M126">
        <f>'Execution '!K16</f>
        <v>0</v>
      </c>
      <c r="N126">
        <f>'Execution '!L16</f>
        <v>0</v>
      </c>
      <c r="O126">
        <f>'Execution '!M16</f>
        <v>0</v>
      </c>
      <c r="P126">
        <f>'Execution '!N16</f>
        <v>0</v>
      </c>
    </row>
    <row r="127" spans="1:16" x14ac:dyDescent="0.25">
      <c r="A127" t="str">
        <f>'Execution '!$B$1</f>
        <v>Execution</v>
      </c>
      <c r="B127">
        <f>'Execution '!$B$2</f>
        <v>0</v>
      </c>
      <c r="C127" t="str">
        <f>'Execution '!A18</f>
        <v>Public Web</v>
      </c>
      <c r="D127" t="str">
        <f>'Execution '!B18</f>
        <v>All</v>
      </c>
      <c r="E127" t="str">
        <f>'Execution '!C18</f>
        <v>N/A</v>
      </c>
      <c r="F127">
        <f>'Execution '!D18</f>
        <v>0</v>
      </c>
      <c r="G127" t="str">
        <f>'Execution '!E18</f>
        <v>Dev: Styling Backwards Compatibility - V2 ModularPage</v>
      </c>
      <c r="H127">
        <f>'Execution '!F18</f>
        <v>46204</v>
      </c>
      <c r="I127">
        <f>'Execution '!G18</f>
        <v>46205</v>
      </c>
      <c r="J127">
        <f>'Execution '!H18</f>
        <v>2</v>
      </c>
      <c r="K127">
        <f>'Execution '!I18</f>
        <v>0.8</v>
      </c>
      <c r="L127" t="str">
        <f>'Execution '!J18</f>
        <v>Critical</v>
      </c>
      <c r="M127" t="str">
        <f>'Execution '!K18</f>
        <v>Yes</v>
      </c>
      <c r="N127" t="str">
        <f>'Execution '!L18</f>
        <v>DesignSystem V2 Styling updates for background</v>
      </c>
      <c r="O127" t="str">
        <f>'Execution '!M18</f>
        <v>Not Started</v>
      </c>
      <c r="P127">
        <f>'Execution '!N18</f>
        <v>0</v>
      </c>
    </row>
    <row r="128" spans="1:16" x14ac:dyDescent="0.25">
      <c r="A128" t="str">
        <f>'Execution '!$B$1</f>
        <v>Execution</v>
      </c>
      <c r="B128">
        <f>'Execution '!$B$2</f>
        <v>0</v>
      </c>
      <c r="C128" t="str">
        <f>'Execution '!A19</f>
        <v>Public Web</v>
      </c>
      <c r="D128" t="str">
        <f>'Execution '!B19</f>
        <v>All</v>
      </c>
      <c r="E128" t="str">
        <f>'Execution '!C19</f>
        <v>N/A</v>
      </c>
      <c r="F128">
        <f>'Execution '!D19</f>
        <v>0</v>
      </c>
      <c r="G128" t="str">
        <f>'Execution '!E19</f>
        <v>Dev: Styling Backwards Compatibility - V2 ArticleModularPage</v>
      </c>
      <c r="H128">
        <f>'Execution '!F19</f>
        <v>46204</v>
      </c>
      <c r="I128">
        <f>'Execution '!G19</f>
        <v>46205</v>
      </c>
      <c r="J128">
        <f>'Execution '!H19</f>
        <v>2</v>
      </c>
      <c r="K128">
        <f>'Execution '!I19</f>
        <v>0.8</v>
      </c>
      <c r="L128" t="str">
        <f>'Execution '!J19</f>
        <v>Critical</v>
      </c>
      <c r="M128" t="str">
        <f>'Execution '!K19</f>
        <v>Yes</v>
      </c>
      <c r="N128" t="str">
        <f>'Execution '!L19</f>
        <v>DesignSystem V2 Styling updates for background</v>
      </c>
      <c r="O128" t="str">
        <f>'Execution '!M19</f>
        <v>Not Started</v>
      </c>
      <c r="P128">
        <f>'Execution '!N19</f>
        <v>0</v>
      </c>
    </row>
    <row r="129" spans="1:16" x14ac:dyDescent="0.25">
      <c r="A129" t="str">
        <f>'Execution '!$B$1</f>
        <v>Execution</v>
      </c>
      <c r="B129">
        <f>'Execution '!$B$2</f>
        <v>0</v>
      </c>
      <c r="C129" t="str">
        <f>'Execution '!A20</f>
        <v>Public Web</v>
      </c>
      <c r="D129" t="str">
        <f>'Execution '!B20</f>
        <v>All</v>
      </c>
      <c r="E129" t="str">
        <f>'Execution '!C20</f>
        <v>N/A</v>
      </c>
      <c r="F129">
        <f>'Execution '!D20</f>
        <v>0</v>
      </c>
      <c r="G129" t="str">
        <f>'Execution '!E20</f>
        <v>Dev: Export Analytics Data into Tableau</v>
      </c>
      <c r="H129">
        <f>'Execution '!F20</f>
        <v>46204</v>
      </c>
      <c r="I129">
        <f>'Execution '!G20</f>
        <v>46209</v>
      </c>
      <c r="J129" t="str">
        <f>'Execution '!H20</f>
        <v>~5</v>
      </c>
      <c r="K129">
        <f>'Execution '!I20</f>
        <v>0.4</v>
      </c>
      <c r="L129" t="str">
        <f>'Execution '!J20</f>
        <v>Critical</v>
      </c>
      <c r="M129" t="str">
        <f>'Execution '!K20</f>
        <v>No</v>
      </c>
      <c r="N129">
        <f>'Execution '!L20</f>
        <v>0</v>
      </c>
      <c r="O129" t="str">
        <f>'Execution '!M20</f>
        <v>Not Started</v>
      </c>
      <c r="P129" t="str">
        <f>'Execution '!N20</f>
        <v>Requires understanding of data sources, data destination, access credentials to involved systems</v>
      </c>
    </row>
    <row r="130" spans="1:16" x14ac:dyDescent="0.25">
      <c r="A130" t="str">
        <f>'Execution '!$B$1</f>
        <v>Execution</v>
      </c>
      <c r="B130">
        <f>'Execution '!$B$2</f>
        <v>0</v>
      </c>
      <c r="C130" t="str">
        <f>'Execution '!A21</f>
        <v>Secure Web</v>
      </c>
      <c r="D130" t="str">
        <f>'Execution '!B21</f>
        <v>N/A</v>
      </c>
      <c r="E130" t="str">
        <f>'Execution '!C21</f>
        <v>N/A</v>
      </c>
      <c r="F130">
        <f>'Execution '!D21</f>
        <v>0</v>
      </c>
      <c r="G130" t="str">
        <f>'Execution '!E21</f>
        <v>Dev: Export Analytics Data into Tableau</v>
      </c>
      <c r="H130">
        <f>'Execution '!F21</f>
        <v>46210</v>
      </c>
      <c r="I130">
        <f>'Execution '!G21</f>
        <v>46213</v>
      </c>
      <c r="J130">
        <f>'Execution '!H21</f>
        <v>3</v>
      </c>
      <c r="K130">
        <f>'Execution '!I21</f>
        <v>0.4</v>
      </c>
      <c r="L130" t="str">
        <f>'Execution '!J21</f>
        <v>Critical</v>
      </c>
      <c r="M130" t="str">
        <f>'Execution '!K21</f>
        <v>No</v>
      </c>
      <c r="N130">
        <f>'Execution '!L21</f>
        <v>0</v>
      </c>
      <c r="O130" t="str">
        <f>'Execution '!M21</f>
        <v>Not Started</v>
      </c>
      <c r="P130" t="str">
        <f>'Execution '!N21</f>
        <v>Requires understanding of data sources, data destination, access credentials to involved systems</v>
      </c>
    </row>
    <row r="131" spans="1:16" x14ac:dyDescent="0.25">
      <c r="A131" t="str">
        <f>'Execution '!$B$1</f>
        <v>Execution</v>
      </c>
      <c r="B131">
        <f>'Execution '!$B$2</f>
        <v>0</v>
      </c>
      <c r="C131" t="str">
        <f>'Execution '!A22</f>
        <v>Public Web</v>
      </c>
      <c r="D131" t="str">
        <f>'Execution '!B22</f>
        <v>OMCOZA</v>
      </c>
      <c r="E131" t="str">
        <f>'Execution '!C22</f>
        <v>Entire site</v>
      </c>
      <c r="F131">
        <f>'Execution '!D22</f>
        <v>0</v>
      </c>
      <c r="G131" t="str">
        <f>'Execution '!E22</f>
        <v>Dev: Configuring Web Transformation Page Template in ContentStack</v>
      </c>
      <c r="H131">
        <f>'Execution '!F22</f>
        <v>46180</v>
      </c>
      <c r="I131">
        <f>'Execution '!G22</f>
        <v>46212</v>
      </c>
      <c r="J131">
        <f>'Execution '!H22</f>
        <v>4</v>
      </c>
      <c r="K131">
        <f>'Execution '!I22</f>
        <v>0.8</v>
      </c>
      <c r="L131" t="str">
        <f>'Execution '!J22</f>
        <v>Critical</v>
      </c>
      <c r="M131" t="str">
        <f>'Execution '!K22</f>
        <v>Yes</v>
      </c>
      <c r="N131" t="str">
        <f>'Execution '!L22</f>
        <v>Web Transformation Page Template</v>
      </c>
      <c r="O131" t="str">
        <f>'Execution '!M22</f>
        <v>Not Started</v>
      </c>
      <c r="P131" t="str">
        <f>'Execution '!N22</f>
        <v>Requires at least Web Transformation Page Template red-zones</v>
      </c>
    </row>
    <row r="132" spans="1:16" x14ac:dyDescent="0.25">
      <c r="A132" t="str">
        <f>'Execution '!$B$1</f>
        <v>Execution</v>
      </c>
      <c r="B132">
        <f>'Execution '!$B$2</f>
        <v>0</v>
      </c>
      <c r="C132" t="str">
        <f>'Execution '!A23</f>
        <v>Public Web</v>
      </c>
      <c r="D132" t="str">
        <f>'Execution '!B23</f>
        <v>OMCOZA</v>
      </c>
      <c r="E132" t="str">
        <f>'Execution '!C23</f>
        <v>Entire site</v>
      </c>
      <c r="F132">
        <f>'Execution '!D23</f>
        <v>0</v>
      </c>
      <c r="G132" t="str">
        <f>'Execution '!E23</f>
        <v>Dev: Update Page Rendering Pipeline to support WT pages</v>
      </c>
      <c r="H132">
        <f>'Execution '!F23</f>
        <v>46213</v>
      </c>
      <c r="I132">
        <f>'Execution '!G23</f>
        <v>46219</v>
      </c>
      <c r="J132">
        <f>'Execution '!H23</f>
        <v>5</v>
      </c>
      <c r="K132">
        <f>'Execution '!I23</f>
        <v>0.8</v>
      </c>
      <c r="L132" t="str">
        <f>'Execution '!J23</f>
        <v>Critical</v>
      </c>
      <c r="M132" t="str">
        <f>'Execution '!K23</f>
        <v>Yes</v>
      </c>
      <c r="N132" t="str">
        <f>'Execution '!L23</f>
        <v>Web Transformation Page Template</v>
      </c>
      <c r="O132" t="str">
        <f>'Execution '!M23</f>
        <v>Not Started</v>
      </c>
      <c r="P132" t="str">
        <f>'Execution '!N23</f>
        <v>Requires at least Web Transformation Page Template red-zones</v>
      </c>
    </row>
    <row r="133" spans="1:16" x14ac:dyDescent="0.25">
      <c r="A133" t="str">
        <f>'Execution '!$B$1</f>
        <v>Execution</v>
      </c>
      <c r="B133">
        <f>'Execution '!$B$2</f>
        <v>0</v>
      </c>
      <c r="C133" t="str">
        <f>'Execution '!A24</f>
        <v>Public Web</v>
      </c>
      <c r="D133" t="str">
        <f>'Execution '!B24</f>
        <v>OMCOZA</v>
      </c>
      <c r="E133" t="str">
        <f>'Execution '!C24</f>
        <v>N/A</v>
      </c>
      <c r="F133">
        <f>'Execution '!D24</f>
        <v>0</v>
      </c>
      <c r="G133" t="str">
        <f>'Execution '!E24</f>
        <v>Dev: Navigation components updates public web</v>
      </c>
      <c r="H133" t="str">
        <f>'Execution '!F24</f>
        <v>TBC</v>
      </c>
      <c r="I133">
        <f>'Execution '!G24</f>
        <v>0</v>
      </c>
      <c r="J133">
        <f>'Execution '!H24</f>
        <v>8</v>
      </c>
      <c r="K133">
        <f>'Execution '!I24</f>
        <v>0.4</v>
      </c>
      <c r="L133" t="str">
        <f>'Execution '!J24</f>
        <v>Critical</v>
      </c>
      <c r="M133" t="str">
        <f>'Execution '!K24</f>
        <v>Yes</v>
      </c>
      <c r="N133" t="str">
        <f>'Execution '!L24</f>
        <v>New Information Architecture for OMCOZA, New Transformation DesignSystem Nav component</v>
      </c>
      <c r="O133" t="str">
        <f>'Execution '!M24</f>
        <v>Not Started</v>
      </c>
      <c r="P133" t="str">
        <f>'Execution '!N24</f>
        <v>Awaiting completed Information Architecture, Awaiting new Transformation DesignSystem Nav component</v>
      </c>
    </row>
    <row r="134" spans="1:16" x14ac:dyDescent="0.25">
      <c r="A134" t="str">
        <f>'Execution '!$B$1</f>
        <v>Execution</v>
      </c>
      <c r="B134">
        <f>'Execution '!$B$2</f>
        <v>0</v>
      </c>
      <c r="C134" t="str">
        <f>'Execution '!A25</f>
        <v>Public Web</v>
      </c>
      <c r="D134" t="str">
        <f>'Execution '!B25</f>
        <v>OMCOZA</v>
      </c>
      <c r="E134" t="str">
        <f>'Execution '!C25</f>
        <v>Personal</v>
      </c>
      <c r="F134">
        <f>'Execution '!D25</f>
        <v>0</v>
      </c>
      <c r="G134" t="str">
        <f>'Execution '!E25</f>
        <v>QE : Automated Testing Framework (LS)</v>
      </c>
      <c r="H134" t="str">
        <f>'Execution '!F25</f>
        <v>TBC</v>
      </c>
      <c r="I134">
        <f>'Execution '!G25</f>
        <v>0</v>
      </c>
      <c r="J134">
        <f>'Execution '!H25</f>
        <v>8</v>
      </c>
      <c r="K134">
        <f>'Execution '!I25</f>
        <v>0.6</v>
      </c>
      <c r="L134" t="str">
        <f>'Execution '!J25</f>
        <v>High</v>
      </c>
      <c r="M134" t="str">
        <f>'Execution '!K25</f>
        <v>No</v>
      </c>
      <c r="N134" t="str">
        <f>'Execution '!L25</f>
        <v>N/A</v>
      </c>
      <c r="O134" t="str">
        <f>'Execution '!M25</f>
        <v>Not Started</v>
      </c>
      <c r="P134">
        <f>'Execution '!N25</f>
        <v>0</v>
      </c>
    </row>
    <row r="135" spans="1:16" x14ac:dyDescent="0.25">
      <c r="A135" t="str">
        <f>'Execution '!$B$1</f>
        <v>Execution</v>
      </c>
      <c r="B135">
        <f>'Execution '!$B$2</f>
        <v>0</v>
      </c>
      <c r="C135" t="str">
        <f>'Execution '!A26</f>
        <v>Public Web</v>
      </c>
      <c r="D135" t="str">
        <f>'Execution '!B26</f>
        <v>OMCOZA</v>
      </c>
      <c r="E135" t="str">
        <f>'Execution '!C26</f>
        <v>Personal</v>
      </c>
      <c r="F135">
        <f>'Execution '!D26</f>
        <v>0</v>
      </c>
      <c r="G135" t="str">
        <f>'Execution '!E26</f>
        <v>Dev :Observability Dashboards for various sites (LS)</v>
      </c>
      <c r="H135">
        <f>'Execution '!F26</f>
        <v>0</v>
      </c>
      <c r="I135">
        <f>'Execution '!G26</f>
        <v>0</v>
      </c>
      <c r="J135">
        <f>'Execution '!H26</f>
        <v>5</v>
      </c>
      <c r="K135">
        <f>'Execution '!I26</f>
        <v>0.5</v>
      </c>
      <c r="L135" t="str">
        <f>'Execution '!J26</f>
        <v>High</v>
      </c>
      <c r="M135" t="str">
        <f>'Execution '!K26</f>
        <v>No</v>
      </c>
      <c r="N135" t="str">
        <f>'Execution '!L26</f>
        <v>N/A</v>
      </c>
      <c r="O135" t="str">
        <f>'Execution '!M26</f>
        <v>Not Started</v>
      </c>
      <c r="P135">
        <f>'Execution '!N26</f>
        <v>0</v>
      </c>
    </row>
    <row r="136" spans="1:16" x14ac:dyDescent="0.25">
      <c r="A136" t="str">
        <f>'Execution '!$B$1</f>
        <v>Execution</v>
      </c>
      <c r="B136">
        <f>'Execution '!$B$2</f>
        <v>0</v>
      </c>
      <c r="C136" t="str">
        <f>'Execution '!A27</f>
        <v>Public Web</v>
      </c>
      <c r="D136" t="str">
        <f>'Execution '!B27</f>
        <v>OMCOZA</v>
      </c>
      <c r="E136" t="str">
        <f>'Execution '!C27</f>
        <v>Personal</v>
      </c>
      <c r="F136">
        <f>'Execution '!D27</f>
        <v>0</v>
      </c>
      <c r="G136">
        <f>'Execution '!E27</f>
        <v>0</v>
      </c>
      <c r="H136" t="str">
        <f>'Execution '!F27</f>
        <v>August Tasks from here</v>
      </c>
      <c r="I136">
        <f>'Execution '!G27</f>
        <v>0</v>
      </c>
      <c r="J136">
        <f>'Execution '!H27</f>
        <v>0</v>
      </c>
      <c r="K136">
        <f>'Execution '!I27</f>
        <v>0</v>
      </c>
      <c r="L136">
        <f>'Execution '!J27</f>
        <v>0</v>
      </c>
      <c r="M136">
        <f>'Execution '!K27</f>
        <v>0</v>
      </c>
      <c r="N136">
        <f>'Execution '!L27</f>
        <v>0</v>
      </c>
      <c r="O136">
        <f>'Execution '!M27</f>
        <v>0</v>
      </c>
      <c r="P136">
        <f>'Execution '!N27</f>
        <v>0</v>
      </c>
    </row>
    <row r="137" spans="1:16" x14ac:dyDescent="0.25">
      <c r="A137" t="str">
        <f>'Execution '!$B$1</f>
        <v>Execution</v>
      </c>
      <c r="B137">
        <f>'Execution '!$B$2</f>
        <v>0</v>
      </c>
      <c r="C137" t="str">
        <f>'Execution '!A28</f>
        <v>Public Web</v>
      </c>
      <c r="D137" t="str">
        <f>'Execution '!B28</f>
        <v>OMCOZA</v>
      </c>
      <c r="E137" t="str">
        <f>'Execution '!C28</f>
        <v>Personal</v>
      </c>
      <c r="F137">
        <f>'Execution '!D28</f>
        <v>0</v>
      </c>
      <c r="G137" t="str">
        <f>'Execution '!E28</f>
        <v>Dev : Modular Template (LS)</v>
      </c>
      <c r="H137" t="str">
        <f>'Execution '!F28</f>
        <v>TBC</v>
      </c>
      <c r="I137">
        <f>'Execution '!G28</f>
        <v>0</v>
      </c>
      <c r="J137">
        <f>'Execution '!H28</f>
        <v>3</v>
      </c>
      <c r="K137">
        <f>'Execution '!I28</f>
        <v>0.5</v>
      </c>
      <c r="L137" t="str">
        <f>'Execution '!J28</f>
        <v>Critical</v>
      </c>
      <c r="M137" t="str">
        <f>'Execution '!K28</f>
        <v>Yes</v>
      </c>
      <c r="N137" t="str">
        <f>'Execution '!L28</f>
        <v>Design Page Template for Category &amp; Product Detail pages</v>
      </c>
      <c r="O137" t="str">
        <f>'Execution '!M28</f>
        <v>Not Started</v>
      </c>
      <c r="P137" t="str">
        <f>'Execution '!N28</f>
        <v>Awaiting Page Template drop</v>
      </c>
    </row>
    <row r="138" spans="1:16" x14ac:dyDescent="0.25">
      <c r="A138" t="str">
        <f>'Execution '!$B$1</f>
        <v>Execution</v>
      </c>
      <c r="B138">
        <f>'Execution '!$B$2</f>
        <v>0</v>
      </c>
      <c r="C138" t="str">
        <f>'Execution '!A29</f>
        <v>Public Web</v>
      </c>
      <c r="D138" t="str">
        <f>'Execution '!B29</f>
        <v>OMCOZA</v>
      </c>
      <c r="E138" t="str">
        <f>'Execution '!C29</f>
        <v>Personal</v>
      </c>
      <c r="F138">
        <f>'Execution '!D29</f>
        <v>0</v>
      </c>
      <c r="G138" t="str">
        <f>'Execution '!E29</f>
        <v>Dev : Modular Page Components (LS)</v>
      </c>
      <c r="H138" t="str">
        <f>'Execution '!F29</f>
        <v>TBC</v>
      </c>
      <c r="I138">
        <f>'Execution '!G29</f>
        <v>0</v>
      </c>
      <c r="J138" t="str">
        <f>'Execution '!H29</f>
        <v>~5</v>
      </c>
      <c r="K138">
        <f>'Execution '!I29</f>
        <v>0.4</v>
      </c>
      <c r="L138" t="str">
        <f>'Execution '!J29</f>
        <v>Critical</v>
      </c>
      <c r="M138" t="str">
        <f>'Execution '!K29</f>
        <v>Yes</v>
      </c>
      <c r="N138" t="str">
        <f>'Execution '!L29</f>
        <v>New Transformation DesignSystem components</v>
      </c>
      <c r="O138" t="str">
        <f>'Execution '!M29</f>
        <v>Not Started</v>
      </c>
      <c r="P138" t="str">
        <f>'Execution '!N29</f>
        <v>Awaiting new Transformation DesignSystem components. Uncertain on Effort in Days, quantity &amp; complexity of components unknown.</v>
      </c>
    </row>
    <row r="139" spans="1:16" x14ac:dyDescent="0.25">
      <c r="A139" t="str">
        <f>'Execution '!$B$1</f>
        <v>Execution</v>
      </c>
      <c r="B139">
        <f>'Execution '!$B$2</f>
        <v>0</v>
      </c>
      <c r="C139" t="str">
        <f>'Execution '!A30</f>
        <v>Public Web</v>
      </c>
      <c r="D139" t="str">
        <f>'Execution '!B30</f>
        <v>OMCOZA</v>
      </c>
      <c r="E139" t="str">
        <f>'Execution '!C30</f>
        <v>Personal</v>
      </c>
      <c r="F139">
        <f>'Execution '!D30</f>
        <v>0</v>
      </c>
      <c r="G139" t="str">
        <f>'Execution '!E30</f>
        <v>Dev Applying analytics tracking to CMS (LS)</v>
      </c>
      <c r="H139" t="str">
        <f>'Execution '!F30</f>
        <v>TBC</v>
      </c>
      <c r="I139">
        <f>'Execution '!G30</f>
        <v>0</v>
      </c>
      <c r="J139" t="str">
        <f>'Execution '!H30</f>
        <v>~5</v>
      </c>
      <c r="K139">
        <f>'Execution '!I30</f>
        <v>0.4</v>
      </c>
      <c r="L139" t="str">
        <f>'Execution '!J30</f>
        <v>Critical</v>
      </c>
      <c r="M139" t="str">
        <f>'Execution '!K30</f>
        <v>Yes</v>
      </c>
      <c r="N139" t="str">
        <f>'Execution '!L30</f>
        <v>New Transformation DesignSystem components</v>
      </c>
      <c r="O139" t="str">
        <f>'Execution '!M30</f>
        <v>Not Started</v>
      </c>
      <c r="P139" t="str">
        <f>'Execution '!N30</f>
        <v>Awaiting new Transformation DesignSystem components. Uncertain on Effort in Days, quantity &amp; complexity of components unknown.</v>
      </c>
    </row>
    <row r="140" spans="1:16" x14ac:dyDescent="0.25">
      <c r="A140" t="str">
        <f>'Execution '!$B$1</f>
        <v>Execution</v>
      </c>
      <c r="B140">
        <f>'Execution '!$B$2</f>
        <v>0</v>
      </c>
      <c r="C140" t="str">
        <f>'Execution '!A31</f>
        <v>Public Web</v>
      </c>
      <c r="D140" t="str">
        <f>'Execution '!B31</f>
        <v>OMCOZA</v>
      </c>
      <c r="E140" t="str">
        <f>'Execution '!C31</f>
        <v>Personal</v>
      </c>
      <c r="F140">
        <f>'Execution '!D31</f>
        <v>0</v>
      </c>
      <c r="G140" t="str">
        <f>'Execution '!E31</f>
        <v>Dev: Omcoza -Licence cutover</v>
      </c>
      <c r="H140" t="str">
        <f>'Execution '!F31</f>
        <v>TBC</v>
      </c>
      <c r="I140">
        <f>'Execution '!G31</f>
        <v>0</v>
      </c>
      <c r="J140">
        <f>'Execution '!H31</f>
        <v>5</v>
      </c>
      <c r="K140">
        <f>'Execution '!I31</f>
        <v>0.6</v>
      </c>
      <c r="L140" t="str">
        <f>'Execution '!J31</f>
        <v>Critical</v>
      </c>
      <c r="M140" t="str">
        <f>'Execution '!K31</f>
        <v>Yes</v>
      </c>
      <c r="N140" t="str">
        <f>'Execution '!L31</f>
        <v>Migrated OMCOZA site</v>
      </c>
      <c r="O140" t="str">
        <f>'Execution '!M31</f>
        <v>Not Started</v>
      </c>
      <c r="P140">
        <f>'Execution '!N31</f>
        <v>0</v>
      </c>
    </row>
    <row r="141" spans="1:16" x14ac:dyDescent="0.25">
      <c r="A141" t="str">
        <f>'Execution '!$B$1</f>
        <v>Execution</v>
      </c>
      <c r="B141">
        <f>'Execution '!$B$2</f>
        <v>0</v>
      </c>
      <c r="C141" t="str">
        <f>'Execution '!A32</f>
        <v>Public Web</v>
      </c>
      <c r="D141" t="str">
        <f>'Execution '!B32</f>
        <v>OMCOZA</v>
      </c>
      <c r="E141" t="str">
        <f>'Execution '!C32</f>
        <v>Personal</v>
      </c>
      <c r="F141">
        <f>'Execution '!D32</f>
        <v>0</v>
      </c>
      <c r="G141" t="str">
        <f>'Execution '!E32</f>
        <v>Dev : Tableu Analytics</v>
      </c>
      <c r="H141" t="str">
        <f>'Execution '!F32</f>
        <v>TBC</v>
      </c>
      <c r="I141">
        <f>'Execution '!G32</f>
        <v>0</v>
      </c>
      <c r="J141">
        <f>'Execution '!H32</f>
        <v>8</v>
      </c>
      <c r="K141">
        <f>'Execution '!I32</f>
        <v>0.5</v>
      </c>
      <c r="L141" t="str">
        <f>'Execution '!J32</f>
        <v>Critical</v>
      </c>
      <c r="M141" t="str">
        <f>'Execution '!K32</f>
        <v>No</v>
      </c>
      <c r="N141" t="str">
        <f>'Execution '!L32</f>
        <v>N/A</v>
      </c>
      <c r="O141" t="str">
        <f>'Execution '!M32</f>
        <v>Not Started</v>
      </c>
      <c r="P141">
        <f>'Execution '!N32</f>
        <v>0</v>
      </c>
    </row>
    <row r="142" spans="1:16" x14ac:dyDescent="0.25">
      <c r="A142" t="str">
        <f>'Execution '!$B$1</f>
        <v>Execution</v>
      </c>
      <c r="B142">
        <f>'Execution '!$B$2</f>
        <v>0</v>
      </c>
      <c r="C142">
        <f>'Execution '!A33</f>
        <v>0</v>
      </c>
      <c r="D142">
        <f>'Execution '!B33</f>
        <v>0</v>
      </c>
      <c r="E142">
        <f>'Execution '!C33</f>
        <v>0</v>
      </c>
      <c r="F142">
        <f>'Execution '!D33</f>
        <v>0</v>
      </c>
      <c r="G142">
        <f>'Execution '!E33</f>
        <v>0</v>
      </c>
      <c r="H142">
        <f>'Execution '!F33</f>
        <v>0</v>
      </c>
      <c r="I142">
        <f>'Execution '!G33</f>
        <v>0</v>
      </c>
      <c r="J142">
        <f>'Execution '!H33</f>
        <v>0</v>
      </c>
      <c r="K142">
        <f>'Execution '!I33</f>
        <v>0</v>
      </c>
      <c r="L142">
        <f>'Execution '!J33</f>
        <v>0</v>
      </c>
      <c r="M142">
        <f>'Execution '!K33</f>
        <v>0</v>
      </c>
      <c r="N142">
        <f>'Execution '!L33</f>
        <v>0</v>
      </c>
      <c r="O142">
        <f>'Execution '!M33</f>
        <v>0</v>
      </c>
      <c r="P142">
        <f>'Execution '!N33</f>
        <v>0</v>
      </c>
    </row>
    <row r="143" spans="1:16" x14ac:dyDescent="0.25">
      <c r="A143" t="str">
        <f>'Execution '!$B$1</f>
        <v>Execution</v>
      </c>
      <c r="B143">
        <f>'Execution '!$B$2</f>
        <v>0</v>
      </c>
      <c r="C143">
        <f>'Execution '!A34</f>
        <v>0</v>
      </c>
      <c r="D143">
        <f>'Execution '!B34</f>
        <v>0</v>
      </c>
      <c r="E143" t="str">
        <f>'Execution '!C34</f>
        <v>OTHER STREAMS</v>
      </c>
      <c r="F143">
        <f>'Execution '!D34</f>
        <v>0</v>
      </c>
      <c r="G143">
        <f>'Execution '!E34</f>
        <v>0</v>
      </c>
      <c r="H143">
        <f>'Execution '!F34</f>
        <v>0</v>
      </c>
      <c r="I143">
        <f>'Execution '!G34</f>
        <v>0</v>
      </c>
      <c r="J143">
        <f>'Execution '!H34</f>
        <v>0</v>
      </c>
      <c r="K143">
        <f>'Execution '!I34</f>
        <v>0</v>
      </c>
      <c r="L143">
        <f>'Execution '!J34</f>
        <v>0</v>
      </c>
      <c r="M143">
        <f>'Execution '!K34</f>
        <v>0</v>
      </c>
      <c r="N143">
        <f>'Execution '!L34</f>
        <v>0</v>
      </c>
      <c r="O143">
        <f>'Execution '!M34</f>
        <v>0</v>
      </c>
      <c r="P143">
        <f>'Execution '!N34</f>
        <v>0</v>
      </c>
    </row>
    <row r="144" spans="1:16" x14ac:dyDescent="0.25">
      <c r="A144" t="str">
        <f>'Execution '!$B$1</f>
        <v>Execution</v>
      </c>
      <c r="B144">
        <f>'Execution '!$B$2</f>
        <v>0</v>
      </c>
      <c r="C144">
        <f>'Execution '!A35</f>
        <v>0</v>
      </c>
      <c r="D144">
        <f>'Execution '!B35</f>
        <v>0</v>
      </c>
      <c r="E144" t="str">
        <f>'Execution '!C35</f>
        <v>OTHER AREAS</v>
      </c>
      <c r="F144">
        <f>'Execution '!D35</f>
        <v>0</v>
      </c>
      <c r="G144">
        <f>'Execution '!E35</f>
        <v>0</v>
      </c>
      <c r="H144">
        <f>'Execution '!F35</f>
        <v>0</v>
      </c>
      <c r="I144">
        <f>'Execution '!G35</f>
        <v>0</v>
      </c>
      <c r="J144">
        <f>'Execution '!H35</f>
        <v>0</v>
      </c>
      <c r="K144">
        <f>'Execution '!I35</f>
        <v>0</v>
      </c>
      <c r="L144">
        <f>'Execution '!J35</f>
        <v>0</v>
      </c>
      <c r="M144">
        <f>'Execution '!K35</f>
        <v>0</v>
      </c>
      <c r="N144">
        <f>'Execution '!L35</f>
        <v>0</v>
      </c>
      <c r="O144">
        <f>'Execution '!M35</f>
        <v>0</v>
      </c>
      <c r="P144">
        <f>'Execution '!N35</f>
        <v>0</v>
      </c>
    </row>
    <row r="145" spans="1:16" x14ac:dyDescent="0.25">
      <c r="H145" s="61"/>
      <c r="I145" s="61"/>
    </row>
    <row r="146" spans="1:16" x14ac:dyDescent="0.25">
      <c r="H146" s="61"/>
      <c r="I146" s="61"/>
    </row>
    <row r="147" spans="1:16" x14ac:dyDescent="0.25">
      <c r="H147" s="61"/>
      <c r="I147" s="61"/>
    </row>
    <row r="148" spans="1:16" x14ac:dyDescent="0.25">
      <c r="H148" s="61"/>
      <c r="I148" s="61"/>
    </row>
    <row r="149" spans="1:16" x14ac:dyDescent="0.25">
      <c r="H149" s="61"/>
      <c r="I149" s="61"/>
    </row>
    <row r="150" spans="1:16" x14ac:dyDescent="0.25">
      <c r="A150" t="str">
        <f>Publishing!$B$1</f>
        <v>Publishing</v>
      </c>
      <c r="B150" t="str">
        <f>Publishing!$B$2</f>
        <v>Bernice</v>
      </c>
      <c r="C150" t="str">
        <f>Publishing!A4</f>
        <v>Public Web</v>
      </c>
      <c r="D150" t="str">
        <f>Publishing!B4</f>
        <v>OMCOM</v>
      </c>
      <c r="E150" t="str">
        <f>Publishing!C4</f>
        <v>Entire site</v>
      </c>
      <c r="F150">
        <f>Publishing!D4</f>
        <v>0</v>
      </c>
      <c r="G150" t="str">
        <f>Publishing!E4</f>
        <v>Take live in V2 new platform</v>
      </c>
      <c r="H150">
        <f>Publishing!F4</f>
        <v>46182</v>
      </c>
      <c r="I150">
        <f>Publishing!G4</f>
        <v>46184</v>
      </c>
      <c r="J150">
        <f>Publishing!H4</f>
        <v>3</v>
      </c>
      <c r="K150">
        <f>Publishing!I4</f>
        <v>0.8</v>
      </c>
      <c r="L150" t="str">
        <f>Publishing!J4</f>
        <v>High</v>
      </c>
      <c r="M150" t="str">
        <f>Publishing!K4</f>
        <v>No</v>
      </c>
      <c r="N150">
        <f>Publishing!L4</f>
        <v>0</v>
      </c>
      <c r="O150" t="str">
        <f>Publishing!M4</f>
        <v>N/A</v>
      </c>
      <c r="P150">
        <f>Publishing!N4</f>
        <v>0</v>
      </c>
    </row>
    <row r="151" spans="1:16" x14ac:dyDescent="0.25">
      <c r="A151" t="str">
        <f>Publishing!$B$1</f>
        <v>Publishing</v>
      </c>
      <c r="B151" t="str">
        <f>Publishing!$B$2</f>
        <v>Bernice</v>
      </c>
      <c r="C151" t="str">
        <f>Publishing!A5</f>
        <v>Public Web</v>
      </c>
      <c r="D151" t="str">
        <f>Publishing!B5</f>
        <v>OMAI (Alternatives)</v>
      </c>
      <c r="E151" t="str">
        <f>Publishing!C5</f>
        <v>Entire site</v>
      </c>
      <c r="F151">
        <f>Publishing!D5</f>
        <v>0</v>
      </c>
      <c r="G151" t="str">
        <f>Publishing!E5</f>
        <v>Testing in V2 new platform and log bugs</v>
      </c>
      <c r="H151">
        <f>Publishing!F5</f>
        <v>46184</v>
      </c>
      <c r="I151">
        <f>Publishing!G5</f>
        <v>46199</v>
      </c>
      <c r="J151">
        <f>Publishing!H5</f>
        <v>12</v>
      </c>
      <c r="K151">
        <f>Publishing!I5</f>
        <v>1</v>
      </c>
      <c r="L151" t="str">
        <f>Publishing!J5</f>
        <v>High</v>
      </c>
      <c r="M151" t="str">
        <f>Publishing!K5</f>
        <v>No</v>
      </c>
      <c r="N151">
        <f>Publishing!L5</f>
        <v>0</v>
      </c>
      <c r="O151" t="str">
        <f>Publishing!M5</f>
        <v>Not Started</v>
      </c>
      <c r="P151" t="str">
        <f>Publishing!N5</f>
        <v>Need to work with Web developers for bug fixes</v>
      </c>
    </row>
    <row r="152" spans="1:16" x14ac:dyDescent="0.25">
      <c r="A152" t="str">
        <f>Publishing!$B$1</f>
        <v>Publishing</v>
      </c>
      <c r="B152" t="str">
        <f>Publishing!$B$2</f>
        <v>Bernice</v>
      </c>
      <c r="C152" t="str">
        <f>Publishing!A6</f>
        <v>Public Web</v>
      </c>
      <c r="D152" t="str">
        <f>Publishing!B6</f>
        <v>OMAI (Alternatives)</v>
      </c>
      <c r="E152" t="str">
        <f>Publishing!C6</f>
        <v>Entire site</v>
      </c>
      <c r="F152">
        <f>Publishing!D6</f>
        <v>0</v>
      </c>
      <c r="G152" t="str">
        <f>Publishing!E6</f>
        <v>Take live in V2 new platform</v>
      </c>
      <c r="H152" t="str">
        <f>Publishing!F6</f>
        <v>JULY - TBC</v>
      </c>
      <c r="I152">
        <f>Publishing!G6</f>
        <v>0</v>
      </c>
      <c r="J152" t="e">
        <f>Publishing!H6</f>
        <v>#VALUE!</v>
      </c>
      <c r="K152">
        <f>Publishing!I6</f>
        <v>0.8</v>
      </c>
      <c r="L152" t="str">
        <f>Publishing!J6</f>
        <v>High</v>
      </c>
      <c r="M152" t="str">
        <f>Publishing!K6</f>
        <v>No</v>
      </c>
      <c r="N152">
        <f>Publishing!L6</f>
        <v>0</v>
      </c>
      <c r="O152" t="str">
        <f>Publishing!M6</f>
        <v>N/A</v>
      </c>
      <c r="P152" t="str">
        <f>Publishing!N6</f>
        <v>Go live date will be determined in the next PI Planning</v>
      </c>
    </row>
    <row r="153" spans="1:16" x14ac:dyDescent="0.25">
      <c r="A153" t="str">
        <f>Publishing!$B$1</f>
        <v>Publishing</v>
      </c>
      <c r="B153" t="str">
        <f>Publishing!$B$2</f>
        <v>Bernice</v>
      </c>
      <c r="C153" t="str">
        <f>Publishing!A7</f>
        <v>Public Web</v>
      </c>
      <c r="D153" t="str">
        <f>Publishing!B7</f>
        <v>OMCOZA</v>
      </c>
      <c r="E153" t="str">
        <f>Publishing!C7</f>
        <v>Personal</v>
      </c>
      <c r="F153" t="str">
        <f>Publishing!D7</f>
        <v>Funeral</v>
      </c>
      <c r="G153" t="str">
        <f>Publishing!E7</f>
        <v>Record Funeral URL structure based on proposed sunset/consolidated pages.</v>
      </c>
      <c r="H153">
        <f>Publishing!F7</f>
        <v>46183</v>
      </c>
      <c r="I153">
        <f>Publishing!G7</f>
        <v>46191</v>
      </c>
      <c r="J153">
        <f>Publishing!H7</f>
        <v>7</v>
      </c>
      <c r="K153">
        <f>Publishing!I7</f>
        <v>0.9</v>
      </c>
      <c r="L153" t="str">
        <f>Publishing!J7</f>
        <v>High</v>
      </c>
      <c r="M153" t="str">
        <f>Publishing!K7</f>
        <v>No</v>
      </c>
      <c r="N153">
        <f>Publishing!L7</f>
        <v>0</v>
      </c>
      <c r="O153" t="str">
        <f>Publishing!M7</f>
        <v>Not Started</v>
      </c>
      <c r="P153" t="str">
        <f>Publishing!N7</f>
        <v>Work with Justin on the urls for this section</v>
      </c>
    </row>
    <row r="154" spans="1:16" x14ac:dyDescent="0.25">
      <c r="A154" t="str">
        <f>Publishing!$B$1</f>
        <v>Publishing</v>
      </c>
      <c r="B154" t="str">
        <f>Publishing!$B$2</f>
        <v>Bernice</v>
      </c>
      <c r="C154" t="str">
        <f>Publishing!A8</f>
        <v>Public Web</v>
      </c>
      <c r="D154" t="str">
        <f>Publishing!B8</f>
        <v>OMCOZA</v>
      </c>
      <c r="E154" t="str">
        <f>Publishing!C8</f>
        <v>Personal</v>
      </c>
      <c r="F154" t="str">
        <f>Publishing!D8</f>
        <v>Retirement</v>
      </c>
      <c r="G154" t="str">
        <f>Publishing!E8</f>
        <v>Record Retirement URL structure based on consolidated pages as per new IA.</v>
      </c>
      <c r="H154">
        <f>Publishing!F8</f>
        <v>46183</v>
      </c>
      <c r="I154">
        <f>Publishing!G8</f>
        <v>46191</v>
      </c>
      <c r="J154">
        <f>Publishing!H8</f>
        <v>7</v>
      </c>
      <c r="K154">
        <f>Publishing!I8</f>
        <v>0.9</v>
      </c>
      <c r="L154" t="str">
        <f>Publishing!J8</f>
        <v>High</v>
      </c>
      <c r="M154" t="str">
        <f>Publishing!K8</f>
        <v>No</v>
      </c>
      <c r="N154">
        <f>Publishing!L8</f>
        <v>0</v>
      </c>
      <c r="O154" t="str">
        <f>Publishing!M8</f>
        <v>Not Started</v>
      </c>
      <c r="P154" t="str">
        <f>Publishing!N8</f>
        <v>Work with Justin on the urls for this section</v>
      </c>
    </row>
    <row r="155" spans="1:16" x14ac:dyDescent="0.25">
      <c r="A155" t="str">
        <f>Publishing!$B$1</f>
        <v>Publishing</v>
      </c>
      <c r="B155" t="str">
        <f>Publishing!$B$2</f>
        <v>Bernice</v>
      </c>
      <c r="C155" t="str">
        <f>Publishing!A9</f>
        <v>Public Web</v>
      </c>
      <c r="D155" t="str">
        <f>Publishing!B9</f>
        <v>OMCOZA</v>
      </c>
      <c r="E155" t="str">
        <f>Publishing!C9</f>
        <v>Personal</v>
      </c>
      <c r="F155" t="str">
        <f>Publishing!D9</f>
        <v>Flexi Save</v>
      </c>
      <c r="G155" t="str">
        <f>Publishing!E9</f>
        <v>Record Flexi Save URL structure based on consolidated pages as per new IA.</v>
      </c>
      <c r="H155">
        <f>Publishing!F9</f>
        <v>46183</v>
      </c>
      <c r="I155">
        <f>Publishing!G9</f>
        <v>46191</v>
      </c>
      <c r="J155">
        <f>Publishing!H9</f>
        <v>7</v>
      </c>
      <c r="K155">
        <f>Publishing!I9</f>
        <v>0.9</v>
      </c>
      <c r="L155" t="str">
        <f>Publishing!J9</f>
        <v>High</v>
      </c>
      <c r="M155" t="str">
        <f>Publishing!K9</f>
        <v>No</v>
      </c>
      <c r="N155">
        <f>Publishing!L9</f>
        <v>0</v>
      </c>
      <c r="O155" t="str">
        <f>Publishing!M9</f>
        <v>Not Started</v>
      </c>
      <c r="P155" t="str">
        <f>Publishing!N9</f>
        <v>Work with Justin on the urls for this section</v>
      </c>
    </row>
    <row r="156" spans="1:16" x14ac:dyDescent="0.25">
      <c r="A156" t="str">
        <f>Publishing!$B$1</f>
        <v>Publishing</v>
      </c>
      <c r="B156" t="str">
        <f>Publishing!$B$2</f>
        <v>Bernice</v>
      </c>
      <c r="C156" t="str">
        <f>Publishing!A11</f>
        <v>Public Web</v>
      </c>
      <c r="D156" t="str">
        <f>Publishing!B11</f>
        <v>OMCOZA</v>
      </c>
      <c r="E156" t="str">
        <f>Publishing!C11</f>
        <v>As is pages</v>
      </c>
      <c r="F156">
        <f>Publishing!D11</f>
        <v>0</v>
      </c>
      <c r="G156" t="str">
        <f>Publishing!E11</f>
        <v>Start moving as is pages over to Beta</v>
      </c>
      <c r="H156">
        <f>Publishing!F11</f>
        <v>46204</v>
      </c>
      <c r="I156">
        <f>Publishing!G11</f>
        <v>46357</v>
      </c>
      <c r="J156">
        <f>Publishing!H11</f>
        <v>110</v>
      </c>
      <c r="K156">
        <f>Publishing!I11</f>
        <v>0.8</v>
      </c>
      <c r="L156" t="str">
        <f>Publishing!J11</f>
        <v>High</v>
      </c>
      <c r="M156" t="str">
        <f>Publishing!K11</f>
        <v>Yes</v>
      </c>
      <c r="N156" t="str">
        <f>Publishing!L11</f>
        <v xml:space="preserve">Design  </v>
      </c>
      <c r="O156" t="str">
        <f>Publishing!M11</f>
        <v>In Progress</v>
      </c>
      <c r="P156" t="str">
        <f>Publishing!N11</f>
        <v>Confirm pages and urls for "as is" pages before I can start moving</v>
      </c>
    </row>
    <row r="157" spans="1:16" x14ac:dyDescent="0.25">
      <c r="A157" t="str">
        <f>Publishing!$B$1</f>
        <v>Publishing</v>
      </c>
      <c r="B157" t="str">
        <f>Publishing!$B$2</f>
        <v>Bernice</v>
      </c>
      <c r="C157" t="str">
        <f>Publishing!A13</f>
        <v>Public Web</v>
      </c>
      <c r="D157" t="str">
        <f>Publishing!B13</f>
        <v>OMCOZA</v>
      </c>
      <c r="E157" t="str">
        <f>Publishing!C13</f>
        <v>Personal</v>
      </c>
      <c r="F157">
        <f>Publishing!D13</f>
        <v>0</v>
      </c>
      <c r="G157" t="str">
        <f>Publishing!E13</f>
        <v>Start building new template pages</v>
      </c>
      <c r="H157">
        <f>Publishing!F13</f>
        <v>46233</v>
      </c>
      <c r="I157">
        <f>Publishing!G13</f>
        <v>46357</v>
      </c>
      <c r="J157">
        <f>Publishing!H13</f>
        <v>89</v>
      </c>
      <c r="K157">
        <f>Publishing!I13</f>
        <v>0.7</v>
      </c>
      <c r="L157" t="str">
        <f>Publishing!J13</f>
        <v>High</v>
      </c>
      <c r="M157" t="str">
        <f>Publishing!K13</f>
        <v>Yes</v>
      </c>
      <c r="N157" t="str">
        <f>Publishing!L13</f>
        <v>Design / Design Systems / Development</v>
      </c>
      <c r="O157" t="str">
        <f>Publishing!M13</f>
        <v>Not Started</v>
      </c>
      <c r="P157" t="str">
        <f>Publishing!N13</f>
        <v>Work can only begin once all upstream teams have completed their work</v>
      </c>
    </row>
    <row r="158" spans="1:16" x14ac:dyDescent="0.25">
      <c r="A158" t="str">
        <f>Publishing!$B$1</f>
        <v>Publishing</v>
      </c>
      <c r="B158" t="str">
        <f>Publishing!$B$2</f>
        <v>Bernice</v>
      </c>
      <c r="C158" t="str">
        <f>Publishing!A15</f>
        <v>Public Web</v>
      </c>
      <c r="D158" t="str">
        <f>Publishing!B15</f>
        <v>OMCOZA</v>
      </c>
      <c r="E158" t="str">
        <f>Publishing!C15</f>
        <v>Corporate</v>
      </c>
      <c r="F158">
        <f>Publishing!D15</f>
        <v>0</v>
      </c>
      <c r="G158" t="str">
        <f>Publishing!E15</f>
        <v>Start building new template pages</v>
      </c>
      <c r="H158">
        <f>Publishing!F15</f>
        <v>46235</v>
      </c>
      <c r="I158">
        <f>Publishing!G15</f>
        <v>46357</v>
      </c>
      <c r="J158">
        <f>Publishing!H15</f>
        <v>87</v>
      </c>
      <c r="K158">
        <f>Publishing!I15</f>
        <v>0.4</v>
      </c>
      <c r="L158" t="str">
        <f>Publishing!J15</f>
        <v>High</v>
      </c>
      <c r="M158" t="str">
        <f>Publishing!K15</f>
        <v>Yes</v>
      </c>
      <c r="N158" t="str">
        <f>Publishing!L15</f>
        <v>Design / Design Systems / Development</v>
      </c>
      <c r="O158" t="str">
        <f>Publishing!M15</f>
        <v>Not Started</v>
      </c>
      <c r="P158" t="str">
        <f>Publishing!N15</f>
        <v>Work can only begin once all upstream teams have completed their work</v>
      </c>
    </row>
    <row r="159" spans="1:16" x14ac:dyDescent="0.25">
      <c r="A159" t="str">
        <f>Publishing!$B$1</f>
        <v>Publishing</v>
      </c>
      <c r="B159" t="str">
        <f>Publishing!$B$2</f>
        <v>Bernice</v>
      </c>
      <c r="C159" t="str">
        <f>Publishing!A16</f>
        <v>Public Web</v>
      </c>
      <c r="D159" t="str">
        <f>Publishing!B16</f>
        <v>OMCOZA</v>
      </c>
      <c r="E159" t="str">
        <f>Publishing!C16</f>
        <v>Wealth</v>
      </c>
      <c r="F159">
        <f>Publishing!D16</f>
        <v>0</v>
      </c>
      <c r="G159" t="str">
        <f>Publishing!E16</f>
        <v>Start building new template pages</v>
      </c>
      <c r="H159">
        <f>Publishing!F16</f>
        <v>46235</v>
      </c>
      <c r="I159">
        <f>Publishing!G16</f>
        <v>46358</v>
      </c>
      <c r="J159">
        <f>Publishing!H16</f>
        <v>88</v>
      </c>
      <c r="K159">
        <f>Publishing!I16</f>
        <v>0.3</v>
      </c>
      <c r="L159" t="str">
        <f>Publishing!J16</f>
        <v>High</v>
      </c>
      <c r="M159" t="str">
        <f>Publishing!K16</f>
        <v>Yes</v>
      </c>
      <c r="N159" t="str">
        <f>Publishing!L16</f>
        <v>Design / Design Systems / Development</v>
      </c>
      <c r="O159" t="str">
        <f>Publishing!M16</f>
        <v>Not Started</v>
      </c>
      <c r="P159" t="str">
        <f>Publishing!N16</f>
        <v>Work can only begin once all upstream teams have completed their work</v>
      </c>
    </row>
    <row r="160" spans="1:16" x14ac:dyDescent="0.25">
      <c r="A160" t="str">
        <f>Publishing!$B$1</f>
        <v>Publishing</v>
      </c>
      <c r="B160" t="str">
        <f>Publishing!$B$2</f>
        <v>Bernice</v>
      </c>
      <c r="C160" t="str">
        <f>Publishing!A18</f>
        <v>Public Web</v>
      </c>
      <c r="D160" t="str">
        <f>Publishing!B18</f>
        <v>OMCOZA</v>
      </c>
      <c r="E160" t="str">
        <f>Publishing!C18</f>
        <v>Utility pages</v>
      </c>
      <c r="F160">
        <f>Publishing!D18</f>
        <v>0</v>
      </c>
      <c r="G160" t="str">
        <f>Publishing!E18</f>
        <v>Start building new template pages</v>
      </c>
      <c r="H160">
        <f>Publishing!F18</f>
        <v>46235</v>
      </c>
      <c r="I160">
        <f>Publishing!G18</f>
        <v>46359</v>
      </c>
      <c r="J160">
        <f>Publishing!H18</f>
        <v>89</v>
      </c>
      <c r="K160">
        <f>Publishing!I18</f>
        <v>0.3</v>
      </c>
      <c r="L160" t="str">
        <f>Publishing!J18</f>
        <v>High</v>
      </c>
      <c r="M160" t="str">
        <f>Publishing!K18</f>
        <v>Yes</v>
      </c>
      <c r="N160" t="str">
        <f>Publishing!L18</f>
        <v>Design / Design Systems / Development</v>
      </c>
      <c r="O160" t="str">
        <f>Publishing!M18</f>
        <v>Not Started</v>
      </c>
      <c r="P160" t="str">
        <f>Publishing!N18</f>
        <v>Work can only begin once all upstream teams have completed their work</v>
      </c>
    </row>
    <row r="161" spans="1:16" x14ac:dyDescent="0.25">
      <c r="A161" t="str">
        <f>Publishing!$B$1</f>
        <v>Publishing</v>
      </c>
      <c r="B161" t="str">
        <f>Publishing!$B$2</f>
        <v>Bernice</v>
      </c>
      <c r="C161" t="str">
        <f>Publishing!A20</f>
        <v>Public Web</v>
      </c>
      <c r="D161" t="str">
        <f>Publishing!B20</f>
        <v>OMCOZA</v>
      </c>
      <c r="E161" t="str">
        <f>Publishing!C20</f>
        <v>About us</v>
      </c>
      <c r="F161">
        <f>Publishing!D20</f>
        <v>0</v>
      </c>
      <c r="G161" t="str">
        <f>Publishing!E20</f>
        <v>Start building new template pages</v>
      </c>
      <c r="H161">
        <f>Publishing!F20</f>
        <v>46235</v>
      </c>
      <c r="I161">
        <f>Publishing!G20</f>
        <v>46360</v>
      </c>
      <c r="J161">
        <f>Publishing!H20</f>
        <v>90</v>
      </c>
      <c r="K161">
        <f>Publishing!I20</f>
        <v>0.3</v>
      </c>
      <c r="L161" t="str">
        <f>Publishing!J20</f>
        <v>High</v>
      </c>
      <c r="M161" t="str">
        <f>Publishing!K20</f>
        <v>Yes</v>
      </c>
      <c r="N161" t="str">
        <f>Publishing!L20</f>
        <v>Design / Design Systems / Development</v>
      </c>
      <c r="O161" t="str">
        <f>Publishing!M20</f>
        <v>Not Started</v>
      </c>
      <c r="P161" t="str">
        <f>Publishing!N20</f>
        <v>Work can only begin once all upstream teams have completed their work</v>
      </c>
    </row>
    <row r="162" spans="1:16" x14ac:dyDescent="0.25">
      <c r="A162" t="str">
        <f>Publishing!$B$1</f>
        <v>Publishing</v>
      </c>
      <c r="B162" t="str">
        <f>Publishing!$B$2</f>
        <v>Bernice</v>
      </c>
      <c r="C162" t="str">
        <f>Publishing!A22</f>
        <v>Public Web</v>
      </c>
      <c r="D162" t="str">
        <f>Publishing!B22</f>
        <v>OMCOZA</v>
      </c>
      <c r="E162" t="str">
        <f>Publishing!C22</f>
        <v>Careers</v>
      </c>
      <c r="F162">
        <f>Publishing!D22</f>
        <v>0</v>
      </c>
      <c r="G162" t="str">
        <f>Publishing!E22</f>
        <v>Start building new template pages</v>
      </c>
      <c r="H162">
        <f>Publishing!F22</f>
        <v>46235</v>
      </c>
      <c r="I162">
        <f>Publishing!G22</f>
        <v>46361</v>
      </c>
      <c r="J162">
        <f>Publishing!H22</f>
        <v>90</v>
      </c>
      <c r="K162">
        <f>Publishing!I22</f>
        <v>0.3</v>
      </c>
      <c r="L162" t="str">
        <f>Publishing!J22</f>
        <v>High</v>
      </c>
      <c r="M162" t="str">
        <f>Publishing!K22</f>
        <v>Yes</v>
      </c>
      <c r="N162" t="str">
        <f>Publishing!L22</f>
        <v>Design / Design Systems / Development</v>
      </c>
      <c r="O162" t="str">
        <f>Publishing!M22</f>
        <v>Not Started</v>
      </c>
      <c r="P162" t="str">
        <f>Publishing!N22</f>
        <v>Work can only begin once all upstream teams have completed their work</v>
      </c>
    </row>
    <row r="163" spans="1:16" x14ac:dyDescent="0.25">
      <c r="A163" t="str">
        <f>Publishing!$B$1</f>
        <v>Publishing</v>
      </c>
      <c r="B163" t="str">
        <f>Publishing!$B$2</f>
        <v>Bernice</v>
      </c>
      <c r="C163" t="str">
        <f>Publishing!A24</f>
        <v>Public Web</v>
      </c>
      <c r="D163" t="str">
        <f>Publishing!B24</f>
        <v>OMCOZA</v>
      </c>
      <c r="E163" t="str">
        <f>Publishing!C24</f>
        <v>Business</v>
      </c>
      <c r="F163">
        <f>Publishing!D24</f>
        <v>0</v>
      </c>
      <c r="G163" t="str">
        <f>Publishing!E24</f>
        <v>Start building new template pages</v>
      </c>
      <c r="H163">
        <f>Publishing!F24</f>
        <v>46235</v>
      </c>
      <c r="I163">
        <f>Publishing!G24</f>
        <v>46362</v>
      </c>
      <c r="J163">
        <f>Publishing!H24</f>
        <v>90</v>
      </c>
      <c r="K163">
        <f>Publishing!I24</f>
        <v>0.3</v>
      </c>
      <c r="L163" t="str">
        <f>Publishing!J24</f>
        <v>High</v>
      </c>
      <c r="M163" t="str">
        <f>Publishing!K24</f>
        <v>Yes</v>
      </c>
      <c r="N163" t="str">
        <f>Publishing!L24</f>
        <v>Design / Design Systems / Development</v>
      </c>
      <c r="O163" t="str">
        <f>Publishing!M24</f>
        <v>Not Started</v>
      </c>
      <c r="P163" t="str">
        <f>Publishing!N24</f>
        <v>Work can only begin once all upstream teams have completed their work</v>
      </c>
    </row>
    <row r="164" spans="1:16" x14ac:dyDescent="0.25">
      <c r="A164" t="str">
        <f>Publishing!$B$1</f>
        <v>Publishing</v>
      </c>
      <c r="B164" t="str">
        <f>Publishing!$B$2</f>
        <v>Bernice</v>
      </c>
      <c r="C164" t="str">
        <f>Publishing!A25</f>
        <v>Public Web</v>
      </c>
      <c r="D164" t="str">
        <f>Publishing!B25</f>
        <v>OMCOM</v>
      </c>
      <c r="E164">
        <f>Publishing!C25</f>
        <v>0</v>
      </c>
      <c r="F164">
        <f>Publishing!D25</f>
        <v>0</v>
      </c>
      <c r="G164" t="str">
        <f>Publishing!E25</f>
        <v>Add new Nav, Footer and update IA</v>
      </c>
      <c r="H164">
        <f>Publishing!F25</f>
        <v>46235</v>
      </c>
      <c r="I164">
        <f>Publishing!G25</f>
        <v>46362</v>
      </c>
      <c r="J164">
        <f>Publishing!H25</f>
        <v>90</v>
      </c>
      <c r="K164">
        <f>Publishing!I25</f>
        <v>0.5</v>
      </c>
      <c r="L164" t="str">
        <f>Publishing!J25</f>
        <v>Medium</v>
      </c>
      <c r="M164" t="str">
        <f>Publishing!K25</f>
        <v>Yes</v>
      </c>
      <c r="N164" t="str">
        <f>Publishing!L25</f>
        <v>Design / Design Systems / Development</v>
      </c>
      <c r="O164" t="str">
        <f>Publishing!M25</f>
        <v>Not Started</v>
      </c>
      <c r="P164" t="str">
        <f>Publishing!N25</f>
        <v>Work can only begin once all upstream teams have completed their work</v>
      </c>
    </row>
    <row r="165" spans="1:16" x14ac:dyDescent="0.25">
      <c r="A165" t="str">
        <f>Publishing!$B$1</f>
        <v>Publishing</v>
      </c>
      <c r="B165" t="str">
        <f>Publishing!$B$2</f>
        <v>Bernice</v>
      </c>
      <c r="C165" t="str">
        <f>Publishing!A26</f>
        <v>Public Web</v>
      </c>
      <c r="D165" t="str">
        <f>Publishing!B26</f>
        <v>OMAI (Alternatives)</v>
      </c>
      <c r="E165">
        <f>Publishing!C26</f>
        <v>0</v>
      </c>
      <c r="F165">
        <f>Publishing!D26</f>
        <v>0</v>
      </c>
      <c r="G165" t="str">
        <f>Publishing!E26</f>
        <v>Add new Nav, Footer and update IA</v>
      </c>
      <c r="H165">
        <f>Publishing!F26</f>
        <v>46235</v>
      </c>
      <c r="I165">
        <f>Publishing!G26</f>
        <v>46362</v>
      </c>
      <c r="J165">
        <f>Publishing!H26</f>
        <v>90</v>
      </c>
      <c r="K165">
        <f>Publishing!I26</f>
        <v>0.5</v>
      </c>
      <c r="L165" t="str">
        <f>Publishing!J26</f>
        <v>Medium</v>
      </c>
      <c r="M165" t="str">
        <f>Publishing!K26</f>
        <v>Yes</v>
      </c>
      <c r="N165" t="str">
        <f>Publishing!L26</f>
        <v>Design / Design Systems / Development</v>
      </c>
      <c r="O165" t="str">
        <f>Publishing!M26</f>
        <v>Not Started</v>
      </c>
      <c r="P165" t="str">
        <f>Publishing!N26</f>
        <v>Work can only begin once all upstream teams have completed their work</v>
      </c>
    </row>
    <row r="166" spans="1:16" x14ac:dyDescent="0.25">
      <c r="A166" t="str">
        <f>Publishing!$B$1</f>
        <v>Publishing</v>
      </c>
      <c r="B166" t="str">
        <f>Publishing!$B$2</f>
        <v>Bernice</v>
      </c>
      <c r="C166" t="str">
        <f>Publishing!A27</f>
        <v>Public Web</v>
      </c>
      <c r="D166" t="str">
        <f>Publishing!B27</f>
        <v>Bula Tsela</v>
      </c>
      <c r="E166">
        <f>Publishing!C27</f>
        <v>0</v>
      </c>
      <c r="F166">
        <f>Publishing!D27</f>
        <v>0</v>
      </c>
      <c r="G166" t="str">
        <f>Publishing!E27</f>
        <v>Add new Nav, Footer and update IA</v>
      </c>
      <c r="H166">
        <f>Publishing!F27</f>
        <v>46235</v>
      </c>
      <c r="I166">
        <f>Publishing!G27</f>
        <v>46362</v>
      </c>
      <c r="J166">
        <f>Publishing!H27</f>
        <v>90</v>
      </c>
      <c r="K166">
        <f>Publishing!I27</f>
        <v>0.5</v>
      </c>
      <c r="L166" t="str">
        <f>Publishing!J27</f>
        <v>Medium</v>
      </c>
      <c r="M166" t="str">
        <f>Publishing!K27</f>
        <v>Yes</v>
      </c>
      <c r="N166" t="str">
        <f>Publishing!L27</f>
        <v>Design / Design Systems / Development</v>
      </c>
      <c r="O166" t="str">
        <f>Publishing!M27</f>
        <v>Not Started</v>
      </c>
      <c r="P166" t="str">
        <f>Publishing!N27</f>
        <v>Work can only begin once all upstream teams have completed their work</v>
      </c>
    </row>
    <row r="167" spans="1:16" x14ac:dyDescent="0.25">
      <c r="A167" t="str">
        <f>Publishing!$B$1</f>
        <v>Publishing</v>
      </c>
      <c r="B167" t="str">
        <f>Publishing!$B$2</f>
        <v>Bernice</v>
      </c>
      <c r="C167" t="str">
        <f>Publishing!A28</f>
        <v>Public Web</v>
      </c>
      <c r="D167" t="str">
        <f>Publishing!B28</f>
        <v>LTD</v>
      </c>
      <c r="E167">
        <f>Publishing!C28</f>
        <v>0</v>
      </c>
      <c r="F167">
        <f>Publishing!D28</f>
        <v>0</v>
      </c>
      <c r="G167" t="str">
        <f>Publishing!E28</f>
        <v>Add new Nav, Footer and update IA</v>
      </c>
      <c r="H167">
        <f>Publishing!F28</f>
        <v>46235</v>
      </c>
      <c r="I167">
        <f>Publishing!G28</f>
        <v>46362</v>
      </c>
      <c r="J167">
        <f>Publishing!H28</f>
        <v>90</v>
      </c>
      <c r="K167">
        <f>Publishing!I28</f>
        <v>0.5</v>
      </c>
      <c r="L167" t="str">
        <f>Publishing!J28</f>
        <v>Medium</v>
      </c>
      <c r="M167" t="str">
        <f>Publishing!K28</f>
        <v>Yes</v>
      </c>
      <c r="N167" t="str">
        <f>Publishing!L28</f>
        <v>Design / Design Systems / Development</v>
      </c>
      <c r="O167" t="str">
        <f>Publishing!M28</f>
        <v>Not Started</v>
      </c>
      <c r="P167" t="str">
        <f>Publishing!N28</f>
        <v>Work can only begin once all upstream teams have completed their work</v>
      </c>
    </row>
    <row r="168" spans="1:16" x14ac:dyDescent="0.25">
      <c r="A168" t="str">
        <f>Publishing!$B$1</f>
        <v>Publishing</v>
      </c>
      <c r="B168" t="str">
        <f>Publishing!$B$2</f>
        <v>Bernice</v>
      </c>
      <c r="C168" t="str">
        <f>Publishing!A30</f>
        <v>Public Web</v>
      </c>
      <c r="D168" t="str">
        <f>Publishing!B30</f>
        <v>OMCOZA</v>
      </c>
      <c r="E168" t="str">
        <f>Publishing!C30</f>
        <v>Entire site</v>
      </c>
      <c r="F168" t="str">
        <f>Publishing!D30</f>
        <v>Entire site</v>
      </c>
      <c r="G168" t="str">
        <f>Publishing!E30</f>
        <v>Add all new redirects for the site</v>
      </c>
      <c r="H168" t="str">
        <f>Publishing!F30</f>
        <v>TBC</v>
      </c>
      <c r="I168" t="str">
        <f>Publishing!G30</f>
        <v>TBC</v>
      </c>
      <c r="J168" t="str">
        <f>Publishing!H30</f>
        <v>TBC</v>
      </c>
      <c r="K168">
        <f>Publishing!I30</f>
        <v>0</v>
      </c>
      <c r="L168">
        <f>Publishing!J30</f>
        <v>0</v>
      </c>
      <c r="M168">
        <f>Publishing!K30</f>
        <v>0</v>
      </c>
      <c r="N168" t="str">
        <f>Publishing!L30</f>
        <v>n/a</v>
      </c>
      <c r="O168" t="str">
        <f>Publishing!M30</f>
        <v>Not Started</v>
      </c>
      <c r="P168" t="str">
        <f>Publishing!N30</f>
        <v>Redirect entry needs to be added for all urls that were changed. This can only be added once the new site is live.</v>
      </c>
    </row>
    <row r="169" spans="1:16" x14ac:dyDescent="0.25">
      <c r="A169" t="str">
        <f>Publishing!$B$1</f>
        <v>Publishing</v>
      </c>
      <c r="B169" t="str">
        <f>Publishing!$B$2</f>
        <v>Bernice</v>
      </c>
      <c r="C169">
        <f>Publishing!A31</f>
        <v>0</v>
      </c>
      <c r="D169">
        <f>Publishing!B31</f>
        <v>0</v>
      </c>
      <c r="E169">
        <f>Publishing!C31</f>
        <v>0</v>
      </c>
      <c r="F169">
        <f>Publishing!D31</f>
        <v>0</v>
      </c>
      <c r="G169">
        <f>Publishing!E31</f>
        <v>0</v>
      </c>
      <c r="H169">
        <f>Publishing!F31</f>
        <v>0</v>
      </c>
      <c r="I169">
        <f>Publishing!G31</f>
        <v>0</v>
      </c>
      <c r="J169">
        <f>Publishing!H31</f>
        <v>0</v>
      </c>
      <c r="K169">
        <f>Publishing!I31</f>
        <v>0</v>
      </c>
      <c r="L169">
        <f>Publishing!J31</f>
        <v>0</v>
      </c>
      <c r="M169">
        <f>Publishing!K31</f>
        <v>0</v>
      </c>
      <c r="N169">
        <f>Publishing!L31</f>
        <v>0</v>
      </c>
      <c r="O169">
        <f>Publishing!M31</f>
        <v>0</v>
      </c>
      <c r="P169">
        <f>Publishing!N31</f>
        <v>0</v>
      </c>
    </row>
    <row r="170" spans="1:16" x14ac:dyDescent="0.25">
      <c r="A170" t="str">
        <f>Publishing!$B$1</f>
        <v>Publishing</v>
      </c>
      <c r="B170" t="str">
        <f>Publishing!$B$2</f>
        <v>Bernice</v>
      </c>
      <c r="C170">
        <f>Publishing!A32</f>
        <v>0</v>
      </c>
      <c r="D170">
        <f>Publishing!B32</f>
        <v>0</v>
      </c>
      <c r="E170">
        <f>Publishing!C32</f>
        <v>0</v>
      </c>
      <c r="F170">
        <f>Publishing!D32</f>
        <v>0</v>
      </c>
      <c r="G170">
        <f>Publishing!E32</f>
        <v>0</v>
      </c>
      <c r="H170">
        <f>Publishing!F32</f>
        <v>0</v>
      </c>
      <c r="I170">
        <f>Publishing!G32</f>
        <v>0</v>
      </c>
      <c r="J170">
        <f>Publishing!H32</f>
        <v>0</v>
      </c>
      <c r="K170">
        <f>Publishing!I32</f>
        <v>0</v>
      </c>
      <c r="L170">
        <f>Publishing!J32</f>
        <v>0</v>
      </c>
      <c r="M170">
        <f>Publishing!K32</f>
        <v>0</v>
      </c>
      <c r="N170">
        <f>Publishing!L32</f>
        <v>0</v>
      </c>
      <c r="O170">
        <f>Publishing!M32</f>
        <v>0</v>
      </c>
      <c r="P170">
        <f>Publishing!N32</f>
        <v>0</v>
      </c>
    </row>
    <row r="171" spans="1:16" x14ac:dyDescent="0.25">
      <c r="A171" t="str">
        <f>Publishing!$B$1</f>
        <v>Publishing</v>
      </c>
      <c r="B171" t="str">
        <f>Publishing!$B$2</f>
        <v>Bernice</v>
      </c>
      <c r="C171">
        <f>Publishing!A33</f>
        <v>0</v>
      </c>
      <c r="D171">
        <f>Publishing!B33</f>
        <v>0</v>
      </c>
      <c r="E171">
        <f>Publishing!C33</f>
        <v>0</v>
      </c>
      <c r="F171">
        <f>Publishing!D33</f>
        <v>0</v>
      </c>
      <c r="G171">
        <f>Publishing!E33</f>
        <v>0</v>
      </c>
      <c r="H171">
        <f>Publishing!F33</f>
        <v>0</v>
      </c>
      <c r="I171">
        <f>Publishing!G33</f>
        <v>0</v>
      </c>
      <c r="J171">
        <f>Publishing!H33</f>
        <v>0</v>
      </c>
      <c r="K171">
        <f>Publishing!I33</f>
        <v>0</v>
      </c>
      <c r="L171">
        <f>Publishing!J33</f>
        <v>0</v>
      </c>
      <c r="M171">
        <f>Publishing!K33</f>
        <v>0</v>
      </c>
      <c r="N171">
        <f>Publishing!L33</f>
        <v>0</v>
      </c>
      <c r="O171">
        <f>Publishing!M33</f>
        <v>0</v>
      </c>
      <c r="P171">
        <f>Publishing!N33</f>
        <v>0</v>
      </c>
    </row>
    <row r="172" spans="1:16" x14ac:dyDescent="0.25">
      <c r="A172" t="str">
        <f>Publishing!$B$1</f>
        <v>Publishing</v>
      </c>
      <c r="B172" t="str">
        <f>Publishing!$B$2</f>
        <v>Bernice</v>
      </c>
      <c r="C172">
        <f>Publishing!A34</f>
        <v>0</v>
      </c>
      <c r="D172">
        <f>Publishing!B34</f>
        <v>0</v>
      </c>
      <c r="E172">
        <f>Publishing!C34</f>
        <v>0</v>
      </c>
      <c r="F172">
        <f>Publishing!D34</f>
        <v>0</v>
      </c>
      <c r="G172">
        <f>Publishing!E34</f>
        <v>0</v>
      </c>
      <c r="H172">
        <f>Publishing!F34</f>
        <v>0</v>
      </c>
      <c r="I172">
        <f>Publishing!G34</f>
        <v>0</v>
      </c>
      <c r="J172">
        <f>Publishing!H34</f>
        <v>0</v>
      </c>
      <c r="K172">
        <f>Publishing!I34</f>
        <v>0</v>
      </c>
      <c r="L172">
        <f>Publishing!J34</f>
        <v>0</v>
      </c>
      <c r="M172">
        <f>Publishing!K34</f>
        <v>0</v>
      </c>
      <c r="N172">
        <f>Publishing!L34</f>
        <v>0</v>
      </c>
      <c r="O172">
        <f>Publishing!M34</f>
        <v>0</v>
      </c>
      <c r="P172">
        <f>Publishing!N34</f>
        <v>0</v>
      </c>
    </row>
    <row r="173" spans="1:16" x14ac:dyDescent="0.25">
      <c r="A173" t="str">
        <f>Publishing!$B$1</f>
        <v>Publishing</v>
      </c>
      <c r="B173" t="str">
        <f>Publishing!$B$2</f>
        <v>Bernice</v>
      </c>
      <c r="C173">
        <f>Publishing!A35</f>
        <v>0</v>
      </c>
      <c r="D173">
        <f>Publishing!B35</f>
        <v>0</v>
      </c>
      <c r="E173">
        <f>Publishing!C35</f>
        <v>0</v>
      </c>
      <c r="F173">
        <f>Publishing!D35</f>
        <v>0</v>
      </c>
      <c r="G173">
        <f>Publishing!E35</f>
        <v>0</v>
      </c>
      <c r="H173">
        <f>Publishing!F35</f>
        <v>0</v>
      </c>
      <c r="I173">
        <f>Publishing!G35</f>
        <v>0</v>
      </c>
      <c r="J173">
        <f>Publishing!H35</f>
        <v>0</v>
      </c>
      <c r="K173">
        <f>Publishing!I35</f>
        <v>0</v>
      </c>
      <c r="L173">
        <f>Publishing!J35</f>
        <v>0</v>
      </c>
      <c r="M173">
        <f>Publishing!K35</f>
        <v>0</v>
      </c>
      <c r="N173">
        <f>Publishing!L35</f>
        <v>0</v>
      </c>
      <c r="O173">
        <f>Publishing!M35</f>
        <v>0</v>
      </c>
      <c r="P173">
        <f>Publishing!N35</f>
        <v>0</v>
      </c>
    </row>
    <row r="174" spans="1:16" x14ac:dyDescent="0.25">
      <c r="A174" t="str">
        <f>Publishing!$B$1</f>
        <v>Publishing</v>
      </c>
      <c r="B174" t="str">
        <f>Publishing!$B$2</f>
        <v>Bernice</v>
      </c>
      <c r="C174">
        <f>Publishing!A36</f>
        <v>0</v>
      </c>
      <c r="D174">
        <f>Publishing!B36</f>
        <v>0</v>
      </c>
      <c r="E174">
        <f>Publishing!C36</f>
        <v>0</v>
      </c>
      <c r="F174">
        <f>Publishing!D36</f>
        <v>0</v>
      </c>
      <c r="G174">
        <f>Publishing!E36</f>
        <v>0</v>
      </c>
      <c r="H174">
        <f>Publishing!F36</f>
        <v>0</v>
      </c>
      <c r="I174">
        <f>Publishing!G36</f>
        <v>0</v>
      </c>
      <c r="J174">
        <f>Publishing!H36</f>
        <v>0</v>
      </c>
      <c r="K174">
        <f>Publishing!I36</f>
        <v>0</v>
      </c>
      <c r="L174">
        <f>Publishing!J36</f>
        <v>0</v>
      </c>
      <c r="M174">
        <f>Publishing!K36</f>
        <v>0</v>
      </c>
      <c r="N174">
        <f>Publishing!L36</f>
        <v>0</v>
      </c>
      <c r="O174">
        <f>Publishing!M36</f>
        <v>0</v>
      </c>
      <c r="P174">
        <f>Publishing!N36</f>
        <v>0</v>
      </c>
    </row>
    <row r="175" spans="1:16" x14ac:dyDescent="0.25">
      <c r="A175" t="str">
        <f>Publishing!$B$1</f>
        <v>Publishing</v>
      </c>
      <c r="B175" t="str">
        <f>Publishing!$B$2</f>
        <v>Bernice</v>
      </c>
      <c r="C175">
        <f>Publishing!A37</f>
        <v>0</v>
      </c>
      <c r="D175">
        <f>Publishing!B37</f>
        <v>0</v>
      </c>
      <c r="E175">
        <f>Publishing!C37</f>
        <v>0</v>
      </c>
      <c r="F175">
        <f>Publishing!D37</f>
        <v>0</v>
      </c>
      <c r="G175">
        <f>Publishing!E37</f>
        <v>0</v>
      </c>
      <c r="H175">
        <f>Publishing!F37</f>
        <v>0</v>
      </c>
      <c r="I175">
        <f>Publishing!G37</f>
        <v>0</v>
      </c>
      <c r="J175">
        <f>Publishing!H37</f>
        <v>0</v>
      </c>
      <c r="K175">
        <f>Publishing!I37</f>
        <v>0</v>
      </c>
      <c r="L175">
        <f>Publishing!J37</f>
        <v>0</v>
      </c>
      <c r="M175">
        <f>Publishing!K37</f>
        <v>0</v>
      </c>
      <c r="N175">
        <f>Publishing!L37</f>
        <v>0</v>
      </c>
      <c r="O175">
        <f>Publishing!M37</f>
        <v>0</v>
      </c>
      <c r="P175">
        <f>Publishing!N37</f>
        <v>0</v>
      </c>
    </row>
    <row r="176" spans="1:16" x14ac:dyDescent="0.25">
      <c r="A176" t="str">
        <f>Publishing!$B$1</f>
        <v>Publishing</v>
      </c>
      <c r="B176" t="str">
        <f>Publishing!$B$2</f>
        <v>Bernice</v>
      </c>
      <c r="C176">
        <f>Publishing!A38</f>
        <v>0</v>
      </c>
      <c r="D176">
        <f>Publishing!B38</f>
        <v>0</v>
      </c>
      <c r="E176">
        <f>Publishing!C38</f>
        <v>0</v>
      </c>
      <c r="F176">
        <f>Publishing!D38</f>
        <v>0</v>
      </c>
      <c r="G176">
        <f>Publishing!E38</f>
        <v>0</v>
      </c>
      <c r="H176">
        <f>Publishing!F38</f>
        <v>0</v>
      </c>
      <c r="I176">
        <f>Publishing!G38</f>
        <v>0</v>
      </c>
      <c r="J176">
        <f>Publishing!H38</f>
        <v>0</v>
      </c>
      <c r="K176">
        <f>Publishing!I38</f>
        <v>0</v>
      </c>
      <c r="L176">
        <f>Publishing!J38</f>
        <v>0</v>
      </c>
      <c r="M176">
        <f>Publishing!K38</f>
        <v>0</v>
      </c>
      <c r="N176">
        <f>Publishing!L38</f>
        <v>0</v>
      </c>
      <c r="O176">
        <f>Publishing!M38</f>
        <v>0</v>
      </c>
      <c r="P176">
        <f>Publishing!N38</f>
        <v>0</v>
      </c>
    </row>
    <row r="180" spans="1:16" x14ac:dyDescent="0.25">
      <c r="H180" s="61"/>
      <c r="I180" s="61"/>
    </row>
    <row r="181" spans="1:16" x14ac:dyDescent="0.25">
      <c r="A181" t="str">
        <f>'Go-Live Readiness'!B1</f>
        <v>Go-Live Readiness</v>
      </c>
      <c r="B181">
        <f>'Go-Live Readiness'!B2</f>
        <v>0</v>
      </c>
      <c r="C181" t="str">
        <f>'Go-Live Readiness'!A4</f>
        <v>Public Web</v>
      </c>
      <c r="D181" t="str">
        <f>'Go-Live Readiness'!B4</f>
        <v>All</v>
      </c>
      <c r="E181" t="str">
        <f>'Go-Live Readiness'!C4</f>
        <v>All</v>
      </c>
      <c r="F181" t="str">
        <f>'Go-Live Readiness'!D4</f>
        <v>All</v>
      </c>
      <c r="G181" t="str">
        <f>'Go-Live Readiness'!E4</f>
        <v xml:space="preserve">Penetration Testing  Discussion and confirmation </v>
      </c>
      <c r="H181">
        <f>'Go-Live Readiness'!F4</f>
        <v>46177</v>
      </c>
      <c r="I181">
        <f>'Go-Live Readiness'!G4</f>
        <v>46177</v>
      </c>
      <c r="J181">
        <f>'Go-Live Readiness'!H4</f>
        <v>1</v>
      </c>
      <c r="K181">
        <f>'Go-Live Readiness'!I4</f>
        <v>1</v>
      </c>
      <c r="L181" t="str">
        <f>'Go-Live Readiness'!J4</f>
        <v>High</v>
      </c>
      <c r="M181" t="str">
        <f>'Go-Live Readiness'!K4</f>
        <v>No</v>
      </c>
      <c r="N181" t="str">
        <f>'Go-Live Readiness'!L4</f>
        <v xml:space="preserve">Nothing a discussion point </v>
      </c>
      <c r="O181" t="str">
        <f>'Go-Live Readiness'!M4</f>
        <v>Complete</v>
      </c>
      <c r="P181" t="str">
        <f>'Go-Live Readiness'!N4</f>
        <v>Penetration Testing  has to be done, at no cost to us, we just have to send  URL' for testing - URL of  sites   must be sent Security Team</v>
      </c>
    </row>
    <row r="182" spans="1:16" x14ac:dyDescent="0.25">
      <c r="A182" t="str">
        <f>'[1]Go-Live Readiness'!$B$1</f>
        <v>Go-Live Readiness</v>
      </c>
      <c r="B182">
        <f>'[1]Go-Live Readiness'!$B$2</f>
        <v>0</v>
      </c>
      <c r="C182" t="str">
        <f>'Go-Live Readiness'!A5</f>
        <v>Public Web</v>
      </c>
      <c r="D182" t="str">
        <f>'Go-Live Readiness'!B5</f>
        <v>All</v>
      </c>
      <c r="E182" t="str">
        <f>'Go-Live Readiness'!C5</f>
        <v>All</v>
      </c>
      <c r="F182" t="str">
        <f>'Go-Live Readiness'!D5</f>
        <v>All</v>
      </c>
      <c r="G182" t="str">
        <f>'Go-Live Readiness'!E5</f>
        <v xml:space="preserve">Qaulity Assurance Approval </v>
      </c>
      <c r="H182">
        <f>'Go-Live Readiness'!F5</f>
        <v>46327</v>
      </c>
      <c r="I182">
        <f>'Go-Live Readiness'!G5</f>
        <v>46356</v>
      </c>
      <c r="J182">
        <f>'Go-Live Readiness'!H5</f>
        <v>21</v>
      </c>
      <c r="K182">
        <f>'Go-Live Readiness'!I5</f>
        <v>1</v>
      </c>
      <c r="L182" t="str">
        <f>'Go-Live Readiness'!J5</f>
        <v>Low</v>
      </c>
      <c r="M182" t="str">
        <f>'Go-Live Readiness'!K5</f>
        <v>No</v>
      </c>
      <c r="N182" t="str">
        <f>'Go-Live Readiness'!L5</f>
        <v xml:space="preserve">Nothing a discussion point </v>
      </c>
      <c r="O182" t="str">
        <f>'Go-Live Readiness'!M5</f>
        <v>Not Started</v>
      </c>
      <c r="P182">
        <f>'Go-Live Readiness'!N5</f>
        <v>0</v>
      </c>
    </row>
    <row r="183" spans="1:16" x14ac:dyDescent="0.25">
      <c r="A183" t="str">
        <f>'[1]Go-Live Readiness'!$B$1</f>
        <v>Go-Live Readiness</v>
      </c>
      <c r="B183">
        <f>'[1]Go-Live Readiness'!$B$2</f>
        <v>0</v>
      </c>
      <c r="C183" t="str">
        <f>'Go-Live Readiness'!A6</f>
        <v>Public Web</v>
      </c>
      <c r="D183" t="str">
        <f>'Go-Live Readiness'!B6</f>
        <v>All</v>
      </c>
      <c r="E183" t="str">
        <f>'Go-Live Readiness'!C6</f>
        <v>All</v>
      </c>
      <c r="F183" t="str">
        <f>'Go-Live Readiness'!D6</f>
        <v>All</v>
      </c>
      <c r="G183" t="str">
        <f>'Go-Live Readiness'!E6</f>
        <v xml:space="preserve">Security Approvals </v>
      </c>
      <c r="H183">
        <f>'Go-Live Readiness'!F6</f>
        <v>46327</v>
      </c>
      <c r="I183">
        <f>'Go-Live Readiness'!G6</f>
        <v>46356</v>
      </c>
      <c r="J183">
        <f>'Go-Live Readiness'!H6</f>
        <v>21</v>
      </c>
      <c r="K183">
        <f>'Go-Live Readiness'!I6</f>
        <v>1</v>
      </c>
      <c r="L183" t="str">
        <f>'Go-Live Readiness'!J6</f>
        <v>Low</v>
      </c>
      <c r="M183" t="str">
        <f>'Go-Live Readiness'!K6</f>
        <v>Yes</v>
      </c>
      <c r="N183" t="str">
        <f>'Go-Live Readiness'!L6</f>
        <v>All deliveries must be in QA State</v>
      </c>
      <c r="O183">
        <f>'Go-Live Readiness'!M6</f>
        <v>0</v>
      </c>
      <c r="P183">
        <f>'Go-Live Readiness'!N6</f>
        <v>0</v>
      </c>
    </row>
    <row r="184" spans="1:16" x14ac:dyDescent="0.25">
      <c r="A184" t="str">
        <f>'[1]Go-Live Readiness'!$B$1</f>
        <v>Go-Live Readiness</v>
      </c>
      <c r="B184">
        <f>'[1]Go-Live Readiness'!$B$2</f>
        <v>0</v>
      </c>
      <c r="C184" t="str">
        <f>'Go-Live Readiness'!A7</f>
        <v>Public Web</v>
      </c>
      <c r="D184" t="str">
        <f>'Go-Live Readiness'!B7</f>
        <v>All</v>
      </c>
      <c r="E184" t="str">
        <f>'Go-Live Readiness'!C7</f>
        <v>All</v>
      </c>
      <c r="F184" t="str">
        <f>'Go-Live Readiness'!D7</f>
        <v>All</v>
      </c>
      <c r="G184" t="str">
        <f>'Go-Live Readiness'!E7</f>
        <v xml:space="preserve">Internal Communication  ( Call Centre) - Marketing  Team  Driven </v>
      </c>
      <c r="H184">
        <f>'Go-Live Readiness'!F7</f>
        <v>46266</v>
      </c>
      <c r="I184">
        <f>'Go-Live Readiness'!G7</f>
        <v>46356</v>
      </c>
      <c r="J184">
        <f>'Go-Live Readiness'!H7</f>
        <v>65</v>
      </c>
      <c r="K184">
        <f>'Go-Live Readiness'!I7</f>
        <v>0.7</v>
      </c>
      <c r="L184" t="str">
        <f>'Go-Live Readiness'!J7</f>
        <v>Low</v>
      </c>
      <c r="M184" t="str">
        <f>'Go-Live Readiness'!K7</f>
        <v>Yes</v>
      </c>
      <c r="N184" t="str">
        <f>'Go-Live Readiness'!L7</f>
        <v>All deliveries must be in readiness state for Comms to be reviewed and sent to internal team and External T</v>
      </c>
      <c r="O184" t="str">
        <f>'Go-Live Readiness'!M7</f>
        <v>Not Started</v>
      </c>
      <c r="P184">
        <f>'Go-Live Readiness'!N7</f>
        <v>0</v>
      </c>
    </row>
    <row r="185" spans="1:16" x14ac:dyDescent="0.25">
      <c r="A185" t="str">
        <f>'[1]Go-Live Readiness'!$B$1</f>
        <v>Go-Live Readiness</v>
      </c>
      <c r="B185">
        <f>'[1]Go-Live Readiness'!$B$2</f>
        <v>0</v>
      </c>
      <c r="C185" t="str">
        <f>'Go-Live Readiness'!A8</f>
        <v>Public Web</v>
      </c>
      <c r="D185" t="str">
        <f>'Go-Live Readiness'!B8</f>
        <v>All</v>
      </c>
      <c r="E185" t="str">
        <f>'Go-Live Readiness'!C8</f>
        <v>All</v>
      </c>
      <c r="F185" t="str">
        <f>'Go-Live Readiness'!D8</f>
        <v>All</v>
      </c>
      <c r="G185" t="str">
        <f>'Go-Live Readiness'!E8</f>
        <v>Service Now Update</v>
      </c>
      <c r="H185">
        <f>'Go-Live Readiness'!F8</f>
        <v>46266</v>
      </c>
      <c r="I185">
        <f>'Go-Live Readiness'!G8</f>
        <v>46356</v>
      </c>
      <c r="J185">
        <f>'Go-Live Readiness'!H8</f>
        <v>65</v>
      </c>
      <c r="K185">
        <f>'Go-Live Readiness'!I8</f>
        <v>0.8</v>
      </c>
      <c r="L185" t="str">
        <f>'Go-Live Readiness'!J8</f>
        <v>Low</v>
      </c>
      <c r="M185" t="str">
        <f>'Go-Live Readiness'!K8</f>
        <v>No</v>
      </c>
      <c r="N185" t="str">
        <f>'Go-Live Readiness'!L8</f>
        <v xml:space="preserve">Nothing a discussion point </v>
      </c>
      <c r="O185" t="str">
        <f>'Go-Live Readiness'!M8</f>
        <v>Not Started</v>
      </c>
      <c r="P185">
        <f>'Go-Live Readiness'!N8</f>
        <v>0</v>
      </c>
    </row>
    <row r="186" spans="1:16" x14ac:dyDescent="0.25">
      <c r="A186" t="str">
        <f>'[1]Go-Live Readiness'!$B$1</f>
        <v>Go-Live Readiness</v>
      </c>
      <c r="B186">
        <f>'[1]Go-Live Readiness'!$B$2</f>
        <v>0</v>
      </c>
      <c r="C186" t="str">
        <f>'Go-Live Readiness'!A9</f>
        <v>Public Web</v>
      </c>
      <c r="D186" t="str">
        <f>'Go-Live Readiness'!B9</f>
        <v>All</v>
      </c>
      <c r="E186" t="str">
        <f>'Go-Live Readiness'!C9</f>
        <v>All</v>
      </c>
      <c r="F186" t="str">
        <f>'Go-Live Readiness'!D9</f>
        <v>All</v>
      </c>
      <c r="G186" t="str">
        <f>'Go-Live Readiness'!E9</f>
        <v xml:space="preserve">Executive Approval </v>
      </c>
      <c r="H186">
        <f>'Go-Live Readiness'!F9</f>
        <v>46342</v>
      </c>
      <c r="I186">
        <f>'Go-Live Readiness'!G9</f>
        <v>46356</v>
      </c>
      <c r="J186">
        <f>'Go-Live Readiness'!H9</f>
        <v>11</v>
      </c>
      <c r="K186">
        <f>'Go-Live Readiness'!I9</f>
        <v>0.5</v>
      </c>
      <c r="L186" t="str">
        <f>'Go-Live Readiness'!J9</f>
        <v>Low</v>
      </c>
      <c r="M186" t="str">
        <f>'Go-Live Readiness'!K9</f>
        <v>Yes</v>
      </c>
      <c r="N186" t="str">
        <f>'Go-Live Readiness'!L9</f>
        <v>Approval to go ahead from all other Teams</v>
      </c>
      <c r="O186" t="str">
        <f>'Go-Live Readiness'!M9</f>
        <v>Not Started</v>
      </c>
      <c r="P186">
        <f>'Go-Live Readiness'!N9</f>
        <v>0</v>
      </c>
    </row>
    <row r="187" spans="1:16" x14ac:dyDescent="0.25">
      <c r="A187" t="str">
        <f>'[1]Go-Live Readiness'!$B$1</f>
        <v>Go-Live Readiness</v>
      </c>
      <c r="B187">
        <f>'[1]Go-Live Readiness'!$B$2</f>
        <v>0</v>
      </c>
      <c r="C187" t="str">
        <f>'Go-Live Readiness'!A10</f>
        <v>Public Web</v>
      </c>
      <c r="D187" t="str">
        <f>'Go-Live Readiness'!B10</f>
        <v>All</v>
      </c>
      <c r="E187" t="str">
        <f>'Go-Live Readiness'!C10</f>
        <v>All</v>
      </c>
      <c r="F187" t="str">
        <f>'Go-Live Readiness'!D10</f>
        <v>All</v>
      </c>
      <c r="G187" t="str">
        <f>'Go-Live Readiness'!E10</f>
        <v xml:space="preserve">Change Management Go Ahead </v>
      </c>
      <c r="H187">
        <f>'Go-Live Readiness'!F10</f>
        <v>46355</v>
      </c>
      <c r="I187">
        <f>'Go-Live Readiness'!G10</f>
        <v>46356</v>
      </c>
      <c r="J187">
        <f>'Go-Live Readiness'!H10</f>
        <v>1</v>
      </c>
      <c r="K187">
        <f>'Go-Live Readiness'!I10</f>
        <v>0.5</v>
      </c>
      <c r="L187" t="str">
        <f>'Go-Live Readiness'!J10</f>
        <v>Low</v>
      </c>
      <c r="M187" t="str">
        <f>'Go-Live Readiness'!K10</f>
        <v xml:space="preserve">Yes </v>
      </c>
      <c r="N187" t="str">
        <f>'Go-Live Readiness'!L10</f>
        <v xml:space="preserve">All  work by teams must be completed </v>
      </c>
      <c r="O187" t="str">
        <f>'Go-Live Readiness'!M10</f>
        <v>Not Started</v>
      </c>
      <c r="P187">
        <f>'Go-Live Readiness'!N10</f>
        <v>0</v>
      </c>
    </row>
    <row r="188" spans="1:16" x14ac:dyDescent="0.25">
      <c r="A188" t="str">
        <f>'[1]Go-Live Readiness'!$B$1</f>
        <v>Go-Live Readiness</v>
      </c>
      <c r="B188">
        <f>'[1]Go-Live Readiness'!$B$2</f>
        <v>0</v>
      </c>
      <c r="C188" t="str">
        <f>'Go-Live Readiness'!A11</f>
        <v>Public Web</v>
      </c>
      <c r="D188" t="str">
        <f>'Go-Live Readiness'!B11</f>
        <v>All</v>
      </c>
      <c r="E188" t="str">
        <f>'Go-Live Readiness'!C11</f>
        <v>All</v>
      </c>
      <c r="F188" t="str">
        <f>'Go-Live Readiness'!D11</f>
        <v>All</v>
      </c>
      <c r="G188" t="str">
        <f>'Go-Live Readiness'!E11</f>
        <v>Customer Expirience Tool</v>
      </c>
      <c r="H188">
        <f>'Go-Live Readiness'!F11</f>
        <v>46177</v>
      </c>
      <c r="I188">
        <f>'Go-Live Readiness'!G11</f>
        <v>46295</v>
      </c>
      <c r="J188">
        <f>'Go-Live Readiness'!H11</f>
        <v>85</v>
      </c>
      <c r="K188">
        <f>'Go-Live Readiness'!I11</f>
        <v>0.1</v>
      </c>
      <c r="L188" t="str">
        <f>'Go-Live Readiness'!J11</f>
        <v>Low</v>
      </c>
      <c r="M188" t="str">
        <f>'Go-Live Readiness'!K11</f>
        <v xml:space="preserve">Yes </v>
      </c>
      <c r="N188" t="str">
        <f>'Go-Live Readiness'!L11</f>
        <v xml:space="preserve">Tool Evaluating </v>
      </c>
      <c r="O188" t="str">
        <f>'Go-Live Readiness'!M11</f>
        <v>Not Started</v>
      </c>
      <c r="P188" t="str">
        <f>'Go-Live Readiness'!N11</f>
        <v>Tool still in evaluation tool</v>
      </c>
    </row>
    <row r="189" spans="1:16" x14ac:dyDescent="0.25">
      <c r="A189" t="str">
        <f>'[1]Go-Live Readiness'!$B$1</f>
        <v>Go-Live Readiness</v>
      </c>
      <c r="B189">
        <f>'[1]Go-Live Readiness'!$B$2</f>
        <v>0</v>
      </c>
      <c r="C189">
        <f>'Go-Live Readiness'!A12</f>
        <v>0</v>
      </c>
      <c r="D189">
        <f>'Go-Live Readiness'!B12</f>
        <v>0</v>
      </c>
      <c r="E189">
        <f>'Go-Live Readiness'!C12</f>
        <v>0</v>
      </c>
      <c r="F189">
        <f>'Go-Live Readiness'!D12</f>
        <v>0</v>
      </c>
      <c r="G189">
        <f>'Go-Live Readiness'!E12</f>
        <v>0</v>
      </c>
      <c r="H189">
        <f>'Go-Live Readiness'!F12</f>
        <v>0</v>
      </c>
      <c r="I189">
        <f>'Go-Live Readiness'!G12</f>
        <v>0</v>
      </c>
      <c r="J189">
        <f>'Go-Live Readiness'!H12</f>
        <v>0</v>
      </c>
      <c r="K189">
        <f>'Go-Live Readiness'!I12</f>
        <v>0</v>
      </c>
      <c r="L189">
        <f>'Go-Live Readiness'!J12</f>
        <v>0</v>
      </c>
      <c r="M189">
        <f>'Go-Live Readiness'!K12</f>
        <v>0</v>
      </c>
      <c r="N189">
        <f>'Go-Live Readiness'!L12</f>
        <v>0</v>
      </c>
      <c r="O189">
        <f>'Go-Live Readiness'!M12</f>
        <v>0</v>
      </c>
      <c r="P189">
        <f>'Go-Live Readiness'!N12</f>
        <v>0</v>
      </c>
    </row>
    <row r="190" spans="1:16" x14ac:dyDescent="0.25">
      <c r="A190" t="str">
        <f>'[1]Go-Live Readiness'!$B$1</f>
        <v>Go-Live Readiness</v>
      </c>
      <c r="B190">
        <f>'[1]Go-Live Readiness'!$B$2</f>
        <v>0</v>
      </c>
      <c r="C190">
        <f>'Go-Live Readiness'!A13</f>
        <v>0</v>
      </c>
      <c r="D190">
        <f>'Go-Live Readiness'!B13</f>
        <v>0</v>
      </c>
      <c r="E190">
        <f>'Go-Live Readiness'!C13</f>
        <v>0</v>
      </c>
      <c r="F190">
        <f>'Go-Live Readiness'!D13</f>
        <v>0</v>
      </c>
      <c r="G190">
        <f>'Go-Live Readiness'!E13</f>
        <v>0</v>
      </c>
      <c r="H190">
        <f>'Go-Live Readiness'!F13</f>
        <v>0</v>
      </c>
      <c r="I190">
        <f>'Go-Live Readiness'!G13</f>
        <v>0</v>
      </c>
      <c r="J190">
        <f>'Go-Live Readiness'!H13</f>
        <v>0</v>
      </c>
      <c r="K190">
        <f>'Go-Live Readiness'!I13</f>
        <v>0</v>
      </c>
      <c r="L190">
        <f>'Go-Live Readiness'!J13</f>
        <v>0</v>
      </c>
      <c r="M190">
        <f>'Go-Live Readiness'!K13</f>
        <v>0</v>
      </c>
      <c r="N190">
        <f>'Go-Live Readiness'!L13</f>
        <v>0</v>
      </c>
      <c r="O190">
        <f>'Go-Live Readiness'!M13</f>
        <v>0</v>
      </c>
      <c r="P190">
        <f>'Go-Live Readiness'!N13</f>
        <v>0</v>
      </c>
    </row>
    <row r="191" spans="1:16" x14ac:dyDescent="0.25">
      <c r="A191" t="str">
        <f>'[1]Go-Live Readiness'!$B$1</f>
        <v>Go-Live Readiness</v>
      </c>
      <c r="B191">
        <f>'[1]Go-Live Readiness'!$B$2</f>
        <v>0</v>
      </c>
      <c r="C191">
        <f>'Go-Live Readiness'!A14</f>
        <v>0</v>
      </c>
      <c r="D191">
        <f>'Go-Live Readiness'!B14</f>
        <v>0</v>
      </c>
      <c r="E191">
        <f>'Go-Live Readiness'!C14</f>
        <v>0</v>
      </c>
      <c r="F191">
        <f>'Go-Live Readiness'!D14</f>
        <v>0</v>
      </c>
      <c r="G191">
        <f>'Go-Live Readiness'!E14</f>
        <v>0</v>
      </c>
      <c r="H191">
        <f>'Go-Live Readiness'!F14</f>
        <v>0</v>
      </c>
      <c r="I191">
        <f>'Go-Live Readiness'!G14</f>
        <v>0</v>
      </c>
      <c r="J191">
        <f>'Go-Live Readiness'!H14</f>
        <v>0</v>
      </c>
      <c r="K191">
        <f>'Go-Live Readiness'!I14</f>
        <v>0</v>
      </c>
      <c r="L191">
        <f>'Go-Live Readiness'!J14</f>
        <v>0</v>
      </c>
      <c r="M191">
        <f>'Go-Live Readiness'!K14</f>
        <v>0</v>
      </c>
      <c r="N191">
        <f>'Go-Live Readiness'!L14</f>
        <v>0</v>
      </c>
      <c r="O191">
        <f>'Go-Live Readiness'!M14</f>
        <v>0</v>
      </c>
      <c r="P191">
        <f>'Go-Live Readiness'!N14</f>
        <v>0</v>
      </c>
    </row>
    <row r="192" spans="1:16" x14ac:dyDescent="0.25">
      <c r="A192" t="str">
        <f>'[1]Go-Live Readiness'!$B$1</f>
        <v>Go-Live Readiness</v>
      </c>
      <c r="B192">
        <f>'[1]Go-Live Readiness'!$B$2</f>
        <v>0</v>
      </c>
      <c r="C192">
        <f>'Go-Live Readiness'!A15</f>
        <v>0</v>
      </c>
      <c r="D192">
        <f>'Go-Live Readiness'!B15</f>
        <v>0</v>
      </c>
      <c r="E192">
        <f>'Go-Live Readiness'!C15</f>
        <v>0</v>
      </c>
      <c r="F192">
        <f>'Go-Live Readiness'!D15</f>
        <v>0</v>
      </c>
      <c r="G192">
        <f>'Go-Live Readiness'!E15</f>
        <v>0</v>
      </c>
      <c r="H192">
        <f>'Go-Live Readiness'!F15</f>
        <v>0</v>
      </c>
      <c r="I192">
        <f>'Go-Live Readiness'!G15</f>
        <v>0</v>
      </c>
      <c r="J192">
        <f>'Go-Live Readiness'!H15</f>
        <v>0</v>
      </c>
      <c r="K192">
        <f>'Go-Live Readiness'!I15</f>
        <v>0</v>
      </c>
      <c r="L192">
        <f>'Go-Live Readiness'!J15</f>
        <v>0</v>
      </c>
      <c r="M192">
        <f>'Go-Live Readiness'!K15</f>
        <v>0</v>
      </c>
      <c r="N192">
        <f>'Go-Live Readiness'!L15</f>
        <v>0</v>
      </c>
      <c r="O192">
        <f>'Go-Live Readiness'!M15</f>
        <v>0</v>
      </c>
      <c r="P192">
        <f>'Go-Live Readiness'!N15</f>
        <v>0</v>
      </c>
    </row>
    <row r="193" spans="1:16" x14ac:dyDescent="0.25">
      <c r="A193" t="str">
        <f>'[1]Go-Live Readiness'!$B$1</f>
        <v>Go-Live Readiness</v>
      </c>
      <c r="B193">
        <f>'[1]Go-Live Readiness'!$B$2</f>
        <v>0</v>
      </c>
      <c r="C193">
        <f>'Go-Live Readiness'!A16</f>
        <v>0</v>
      </c>
      <c r="D193">
        <f>'Go-Live Readiness'!B16</f>
        <v>0</v>
      </c>
      <c r="E193">
        <f>'Go-Live Readiness'!C16</f>
        <v>0</v>
      </c>
      <c r="F193">
        <f>'Go-Live Readiness'!D16</f>
        <v>0</v>
      </c>
      <c r="G193">
        <f>'Go-Live Readiness'!E16</f>
        <v>0</v>
      </c>
      <c r="H193">
        <f>'Go-Live Readiness'!F16</f>
        <v>0</v>
      </c>
      <c r="I193">
        <f>'Go-Live Readiness'!G16</f>
        <v>0</v>
      </c>
      <c r="J193">
        <f>'Go-Live Readiness'!H16</f>
        <v>0</v>
      </c>
      <c r="K193">
        <f>'Go-Live Readiness'!I16</f>
        <v>0</v>
      </c>
      <c r="L193">
        <f>'Go-Live Readiness'!J16</f>
        <v>0</v>
      </c>
      <c r="M193">
        <f>'Go-Live Readiness'!K16</f>
        <v>0</v>
      </c>
      <c r="N193">
        <f>'Go-Live Readiness'!L16</f>
        <v>0</v>
      </c>
      <c r="O193">
        <f>'Go-Live Readiness'!M16</f>
        <v>0</v>
      </c>
      <c r="P193">
        <f>'Go-Live Readiness'!N16</f>
        <v>0</v>
      </c>
    </row>
    <row r="194" spans="1:16" x14ac:dyDescent="0.25">
      <c r="A194" t="str">
        <f>'[1]Go-Live Readiness'!$B$1</f>
        <v>Go-Live Readiness</v>
      </c>
      <c r="B194">
        <f>'[1]Go-Live Readiness'!$B$2</f>
        <v>0</v>
      </c>
      <c r="C194">
        <f>'Go-Live Readiness'!A17</f>
        <v>0</v>
      </c>
      <c r="D194">
        <f>'Go-Live Readiness'!B17</f>
        <v>0</v>
      </c>
      <c r="E194">
        <f>'Go-Live Readiness'!C17</f>
        <v>0</v>
      </c>
      <c r="F194">
        <f>'Go-Live Readiness'!D17</f>
        <v>0</v>
      </c>
      <c r="G194">
        <f>'Go-Live Readiness'!E17</f>
        <v>0</v>
      </c>
      <c r="H194">
        <f>'Go-Live Readiness'!F17</f>
        <v>0</v>
      </c>
      <c r="I194">
        <f>'Go-Live Readiness'!G17</f>
        <v>0</v>
      </c>
      <c r="J194">
        <f>'Go-Live Readiness'!H17</f>
        <v>0</v>
      </c>
      <c r="K194">
        <f>'Go-Live Readiness'!I17</f>
        <v>0</v>
      </c>
      <c r="L194">
        <f>'Go-Live Readiness'!J17</f>
        <v>0</v>
      </c>
      <c r="M194">
        <f>'Go-Live Readiness'!K17</f>
        <v>0</v>
      </c>
      <c r="N194">
        <f>'Go-Live Readiness'!L17</f>
        <v>0</v>
      </c>
      <c r="O194">
        <f>'Go-Live Readiness'!M17</f>
        <v>0</v>
      </c>
      <c r="P194">
        <f>'Go-Live Readiness'!N17</f>
        <v>0</v>
      </c>
    </row>
    <row r="195" spans="1:16" x14ac:dyDescent="0.25">
      <c r="A195" t="str">
        <f>'[1]Go-Live Readiness'!$B$1</f>
        <v>Go-Live Readiness</v>
      </c>
      <c r="B195">
        <f>'[1]Go-Live Readiness'!$B$2</f>
        <v>0</v>
      </c>
      <c r="C195">
        <f>'Go-Live Readiness'!A18</f>
        <v>0</v>
      </c>
      <c r="D195">
        <f>'Go-Live Readiness'!B18</f>
        <v>0</v>
      </c>
      <c r="E195">
        <f>'Go-Live Readiness'!C18</f>
        <v>0</v>
      </c>
      <c r="F195">
        <f>'Go-Live Readiness'!D18</f>
        <v>0</v>
      </c>
      <c r="G195">
        <f>'Go-Live Readiness'!E18</f>
        <v>0</v>
      </c>
      <c r="H195">
        <f>'Go-Live Readiness'!F18</f>
        <v>0</v>
      </c>
      <c r="I195">
        <f>'Go-Live Readiness'!G18</f>
        <v>0</v>
      </c>
      <c r="J195">
        <f>'Go-Live Readiness'!H18</f>
        <v>0</v>
      </c>
      <c r="K195">
        <f>'Go-Live Readiness'!I18</f>
        <v>0</v>
      </c>
      <c r="L195">
        <f>'Go-Live Readiness'!J18</f>
        <v>0</v>
      </c>
      <c r="M195">
        <f>'Go-Live Readiness'!K18</f>
        <v>0</v>
      </c>
      <c r="N195">
        <f>'Go-Live Readiness'!L18</f>
        <v>0</v>
      </c>
      <c r="O195">
        <f>'Go-Live Readiness'!M18</f>
        <v>0</v>
      </c>
      <c r="P195">
        <f>'Go-Live Readiness'!N18</f>
        <v>0</v>
      </c>
    </row>
    <row r="196" spans="1:16" x14ac:dyDescent="0.25">
      <c r="A196" t="str">
        <f>'[1]Go-Live Readiness'!$B$1</f>
        <v>Go-Live Readiness</v>
      </c>
      <c r="B196">
        <f>'[1]Go-Live Readiness'!$B$2</f>
        <v>0</v>
      </c>
      <c r="C196">
        <f>'Go-Live Readiness'!A19</f>
        <v>0</v>
      </c>
      <c r="D196">
        <f>'Go-Live Readiness'!B19</f>
        <v>0</v>
      </c>
      <c r="E196">
        <f>'Go-Live Readiness'!C19</f>
        <v>0</v>
      </c>
      <c r="F196">
        <f>'Go-Live Readiness'!D19</f>
        <v>0</v>
      </c>
      <c r="G196">
        <f>'Go-Live Readiness'!E19</f>
        <v>0</v>
      </c>
      <c r="H196">
        <f>'Go-Live Readiness'!F19</f>
        <v>0</v>
      </c>
      <c r="I196">
        <f>'Go-Live Readiness'!G19</f>
        <v>0</v>
      </c>
      <c r="J196">
        <f>'Go-Live Readiness'!H19</f>
        <v>0</v>
      </c>
      <c r="K196">
        <f>'Go-Live Readiness'!I19</f>
        <v>0</v>
      </c>
      <c r="L196">
        <f>'Go-Live Readiness'!J19</f>
        <v>0</v>
      </c>
      <c r="M196">
        <f>'Go-Live Readiness'!K19</f>
        <v>0</v>
      </c>
      <c r="N196">
        <f>'Go-Live Readiness'!L19</f>
        <v>0</v>
      </c>
      <c r="O196">
        <f>'Go-Live Readiness'!M19</f>
        <v>0</v>
      </c>
      <c r="P196">
        <f>'Go-Live Readiness'!N19</f>
        <v>0</v>
      </c>
    </row>
    <row r="197" spans="1:16" x14ac:dyDescent="0.25">
      <c r="H197" s="61"/>
      <c r="I197" s="61"/>
    </row>
    <row r="198" spans="1:16" x14ac:dyDescent="0.25">
      <c r="H198" s="61"/>
      <c r="I198" s="61"/>
    </row>
    <row r="199" spans="1:16" x14ac:dyDescent="0.25">
      <c r="H199" s="61"/>
      <c r="I199" s="61"/>
    </row>
    <row r="200" spans="1:16" x14ac:dyDescent="0.25">
      <c r="H200" s="61"/>
      <c r="I200" s="61"/>
    </row>
    <row r="201" spans="1:16" x14ac:dyDescent="0.25">
      <c r="H201" s="61"/>
      <c r="I201" s="61"/>
    </row>
    <row r="202" spans="1:16" x14ac:dyDescent="0.25">
      <c r="H202" s="61"/>
      <c r="I202" s="61"/>
    </row>
    <row r="203" spans="1:16" x14ac:dyDescent="0.25">
      <c r="H203" s="61"/>
      <c r="I203" s="61"/>
    </row>
    <row r="204" spans="1:16" x14ac:dyDescent="0.25">
      <c r="H204" s="61"/>
      <c r="I204" s="61"/>
    </row>
    <row r="205" spans="1:16" x14ac:dyDescent="0.25">
      <c r="A205" t="str">
        <f>' SEO Analytics '!$B$1</f>
        <v>SEO / Analytics</v>
      </c>
      <c r="B205">
        <f>' SEO Analytics '!$B$2</f>
        <v>0</v>
      </c>
      <c r="C205" t="str">
        <f>' SEO Analytics '!A4</f>
        <v>Public Web</v>
      </c>
      <c r="D205" t="str">
        <f>' SEO Analytics '!B4</f>
        <v>All</v>
      </c>
      <c r="E205" t="str">
        <f>' SEO Analytics '!C4</f>
        <v>All</v>
      </c>
      <c r="F205" t="str">
        <f>' SEO Analytics '!D4</f>
        <v>All</v>
      </c>
      <c r="G205" t="str">
        <f>' SEO Analytics '!E4</f>
        <v xml:space="preserve">Confirm Engagment  Cycle with SEO Team </v>
      </c>
      <c r="H205">
        <f>' SEO Analytics '!F4</f>
        <v>46181</v>
      </c>
      <c r="I205">
        <f>' SEO Analytics '!G4</f>
        <v>46188</v>
      </c>
      <c r="J205">
        <f>' SEO Analytics '!H4</f>
        <v>6</v>
      </c>
      <c r="K205">
        <f>' SEO Analytics '!I4</f>
        <v>1</v>
      </c>
      <c r="L205" t="str">
        <f>' SEO Analytics '!J4</f>
        <v>High</v>
      </c>
      <c r="M205" t="str">
        <f>' SEO Analytics '!K4</f>
        <v>No</v>
      </c>
      <c r="N205" t="str">
        <f>' SEO Analytics '!L4</f>
        <v xml:space="preserve">None </v>
      </c>
      <c r="O205" t="str">
        <f>' SEO Analytics '!M4</f>
        <v>In Progress</v>
      </c>
      <c r="P205" t="str">
        <f>' SEO Analytics '!N4</f>
        <v xml:space="preserve">Final Approval will be provided by the CMO </v>
      </c>
    </row>
    <row r="206" spans="1:16" x14ac:dyDescent="0.25">
      <c r="A206" t="str">
        <f>' SEO Analytics '!$B$1</f>
        <v>SEO / Analytics</v>
      </c>
      <c r="B206">
        <f>' SEO Analytics '!$B$2</f>
        <v>0</v>
      </c>
      <c r="C206" t="str">
        <f>' SEO Analytics '!A5</f>
        <v>Public Web</v>
      </c>
      <c r="D206" t="str">
        <f>' SEO Analytics '!B5</f>
        <v>All</v>
      </c>
      <c r="E206" t="str">
        <f>' SEO Analytics '!C5</f>
        <v>All</v>
      </c>
      <c r="F206" t="str">
        <f>' SEO Analytics '!D5</f>
        <v>All</v>
      </c>
      <c r="G206" t="str">
        <f>' SEO Analytics '!E5</f>
        <v xml:space="preserve">SEO Requirements to Dev  Team </v>
      </c>
      <c r="H206">
        <f>' SEO Analytics '!F5</f>
        <v>46181</v>
      </c>
      <c r="I206">
        <f>' SEO Analytics '!G5</f>
        <v>46188</v>
      </c>
      <c r="J206">
        <f>' SEO Analytics '!H5</f>
        <v>6</v>
      </c>
      <c r="K206">
        <f>' SEO Analytics '!I5</f>
        <v>1</v>
      </c>
      <c r="L206" t="str">
        <f>' SEO Analytics '!J5</f>
        <v>High</v>
      </c>
      <c r="M206" t="str">
        <f>' SEO Analytics '!K5</f>
        <v>No</v>
      </c>
      <c r="N206">
        <f>' SEO Analytics '!L5</f>
        <v>0</v>
      </c>
      <c r="O206">
        <f>' SEO Analytics '!M5</f>
        <v>0</v>
      </c>
      <c r="P206">
        <f>' SEO Analytics '!N5</f>
        <v>0</v>
      </c>
    </row>
    <row r="207" spans="1:16" x14ac:dyDescent="0.25">
      <c r="A207" t="str">
        <f>' SEO Analytics '!$B$1</f>
        <v>SEO / Analytics</v>
      </c>
      <c r="B207">
        <f>' SEO Analytics '!$B$2</f>
        <v>0</v>
      </c>
      <c r="C207">
        <f>' SEO Analytics '!A6</f>
        <v>0</v>
      </c>
      <c r="D207">
        <f>' SEO Analytics '!B6</f>
        <v>0</v>
      </c>
      <c r="E207">
        <f>' SEO Analytics '!C6</f>
        <v>0</v>
      </c>
      <c r="F207">
        <f>' SEO Analytics '!D6</f>
        <v>0</v>
      </c>
      <c r="G207">
        <f>' SEO Analytics '!E6</f>
        <v>0</v>
      </c>
      <c r="H207">
        <f>' SEO Analytics '!F6</f>
        <v>0</v>
      </c>
      <c r="I207">
        <f>' SEO Analytics '!G6</f>
        <v>0</v>
      </c>
      <c r="J207">
        <f>' SEO Analytics '!H6</f>
        <v>0</v>
      </c>
      <c r="K207">
        <f>' SEO Analytics '!I6</f>
        <v>0</v>
      </c>
      <c r="L207">
        <f>' SEO Analytics '!J6</f>
        <v>0</v>
      </c>
      <c r="M207">
        <f>' SEO Analytics '!K6</f>
        <v>0</v>
      </c>
      <c r="N207">
        <f>' SEO Analytics '!L6</f>
        <v>0</v>
      </c>
      <c r="O207">
        <f>' SEO Analytics '!M6</f>
        <v>0</v>
      </c>
      <c r="P207">
        <f>' SEO Analytics '!N6</f>
        <v>0</v>
      </c>
    </row>
    <row r="208" spans="1:16" x14ac:dyDescent="0.25">
      <c r="A208" t="str">
        <f>' SEO Analytics '!$B$1</f>
        <v>SEO / Analytics</v>
      </c>
      <c r="B208">
        <f>' SEO Analytics '!$B$2</f>
        <v>0</v>
      </c>
      <c r="C208">
        <f>' SEO Analytics '!A7</f>
        <v>0</v>
      </c>
      <c r="D208">
        <f>' SEO Analytics '!B7</f>
        <v>0</v>
      </c>
      <c r="E208">
        <f>' SEO Analytics '!C7</f>
        <v>0</v>
      </c>
      <c r="F208">
        <f>' SEO Analytics '!D7</f>
        <v>0</v>
      </c>
      <c r="G208">
        <f>' SEO Analytics '!E7</f>
        <v>0</v>
      </c>
      <c r="H208">
        <f>' SEO Analytics '!F7</f>
        <v>0</v>
      </c>
      <c r="I208">
        <f>' SEO Analytics '!G7</f>
        <v>0</v>
      </c>
      <c r="J208">
        <f>' SEO Analytics '!H7</f>
        <v>0</v>
      </c>
      <c r="K208">
        <f>' SEO Analytics '!I7</f>
        <v>0</v>
      </c>
      <c r="L208">
        <f>' SEO Analytics '!J7</f>
        <v>0</v>
      </c>
      <c r="M208">
        <f>' SEO Analytics '!K7</f>
        <v>0</v>
      </c>
      <c r="N208">
        <f>' SEO Analytics '!L7</f>
        <v>0</v>
      </c>
      <c r="O208">
        <f>' SEO Analytics '!M7</f>
        <v>0</v>
      </c>
      <c r="P208">
        <f>' SEO Analytics '!N7</f>
        <v>0</v>
      </c>
    </row>
    <row r="209" spans="1:16" x14ac:dyDescent="0.25">
      <c r="A209" t="str">
        <f>' SEO Analytics '!$B$1</f>
        <v>SEO / Analytics</v>
      </c>
      <c r="B209">
        <f>' SEO Analytics '!$B$2</f>
        <v>0</v>
      </c>
      <c r="C209">
        <f>' SEO Analytics '!A8</f>
        <v>0</v>
      </c>
      <c r="D209">
        <f>' SEO Analytics '!B8</f>
        <v>0</v>
      </c>
      <c r="E209">
        <f>' SEO Analytics '!C8</f>
        <v>0</v>
      </c>
      <c r="F209">
        <f>' SEO Analytics '!D8</f>
        <v>0</v>
      </c>
      <c r="G209">
        <f>' SEO Analytics '!E8</f>
        <v>0</v>
      </c>
      <c r="H209">
        <f>' SEO Analytics '!F8</f>
        <v>0</v>
      </c>
      <c r="I209">
        <f>' SEO Analytics '!G8</f>
        <v>0</v>
      </c>
      <c r="J209">
        <f>' SEO Analytics '!H8</f>
        <v>0</v>
      </c>
      <c r="K209">
        <f>' SEO Analytics '!I8</f>
        <v>0</v>
      </c>
      <c r="L209">
        <f>' SEO Analytics '!J8</f>
        <v>0</v>
      </c>
      <c r="M209">
        <f>' SEO Analytics '!K8</f>
        <v>0</v>
      </c>
      <c r="N209">
        <f>' SEO Analytics '!L8</f>
        <v>0</v>
      </c>
      <c r="O209">
        <f>' SEO Analytics '!M8</f>
        <v>0</v>
      </c>
      <c r="P209">
        <f>' SEO Analytics '!N8</f>
        <v>0</v>
      </c>
    </row>
    <row r="210" spans="1:16" x14ac:dyDescent="0.25">
      <c r="A210" t="str">
        <f>' SEO Analytics '!$B$1</f>
        <v>SEO / Analytics</v>
      </c>
      <c r="B210">
        <f>' SEO Analytics '!$B$2</f>
        <v>0</v>
      </c>
      <c r="C210">
        <f>' SEO Analytics '!A9</f>
        <v>0</v>
      </c>
      <c r="D210">
        <f>' SEO Analytics '!B9</f>
        <v>0</v>
      </c>
      <c r="E210">
        <f>' SEO Analytics '!C9</f>
        <v>0</v>
      </c>
      <c r="F210">
        <f>' SEO Analytics '!D9</f>
        <v>0</v>
      </c>
      <c r="G210">
        <f>' SEO Analytics '!E9</f>
        <v>0</v>
      </c>
      <c r="H210">
        <f>' SEO Analytics '!F9</f>
        <v>0</v>
      </c>
      <c r="I210">
        <f>' SEO Analytics '!G9</f>
        <v>0</v>
      </c>
      <c r="J210">
        <f>' SEO Analytics '!H9</f>
        <v>0</v>
      </c>
      <c r="K210">
        <f>' SEO Analytics '!I9</f>
        <v>0</v>
      </c>
      <c r="L210">
        <f>' SEO Analytics '!J9</f>
        <v>0</v>
      </c>
      <c r="M210">
        <f>' SEO Analytics '!K9</f>
        <v>0</v>
      </c>
      <c r="N210">
        <f>' SEO Analytics '!L9</f>
        <v>0</v>
      </c>
      <c r="O210">
        <f>' SEO Analytics '!M9</f>
        <v>0</v>
      </c>
      <c r="P210">
        <f>' SEO Analytics '!N9</f>
        <v>0</v>
      </c>
    </row>
    <row r="211" spans="1:16" x14ac:dyDescent="0.25">
      <c r="A211" t="str">
        <f>' SEO Analytics '!$B$1</f>
        <v>SEO / Analytics</v>
      </c>
      <c r="B211">
        <f>' SEO Analytics '!$B$2</f>
        <v>0</v>
      </c>
      <c r="C211">
        <f>' SEO Analytics '!A10</f>
        <v>0</v>
      </c>
      <c r="D211">
        <f>' SEO Analytics '!B10</f>
        <v>0</v>
      </c>
      <c r="E211">
        <f>' SEO Analytics '!C10</f>
        <v>0</v>
      </c>
      <c r="F211">
        <f>' SEO Analytics '!D10</f>
        <v>0</v>
      </c>
      <c r="G211">
        <f>' SEO Analytics '!E10</f>
        <v>0</v>
      </c>
      <c r="H211">
        <f>' SEO Analytics '!F10</f>
        <v>0</v>
      </c>
      <c r="I211">
        <f>' SEO Analytics '!G10</f>
        <v>0</v>
      </c>
      <c r="J211">
        <f>' SEO Analytics '!H10</f>
        <v>0</v>
      </c>
      <c r="K211">
        <f>' SEO Analytics '!I10</f>
        <v>0</v>
      </c>
      <c r="L211">
        <f>' SEO Analytics '!J10</f>
        <v>0</v>
      </c>
      <c r="M211">
        <f>' SEO Analytics '!K10</f>
        <v>0</v>
      </c>
      <c r="N211">
        <f>' SEO Analytics '!L10</f>
        <v>0</v>
      </c>
      <c r="O211">
        <f>' SEO Analytics '!M10</f>
        <v>0</v>
      </c>
      <c r="P211">
        <f>' SEO Analytics '!N10</f>
        <v>0</v>
      </c>
    </row>
    <row r="212" spans="1:16" x14ac:dyDescent="0.25">
      <c r="A212" t="str">
        <f>' SEO Analytics '!$B$1</f>
        <v>SEO / Analytics</v>
      </c>
      <c r="B212">
        <f>' SEO Analytics '!$B$2</f>
        <v>0</v>
      </c>
      <c r="C212">
        <f>' SEO Analytics '!A11</f>
        <v>0</v>
      </c>
      <c r="D212">
        <f>' SEO Analytics '!B11</f>
        <v>0</v>
      </c>
      <c r="E212">
        <f>' SEO Analytics '!C11</f>
        <v>0</v>
      </c>
      <c r="F212">
        <f>' SEO Analytics '!D11</f>
        <v>0</v>
      </c>
      <c r="G212">
        <f>' SEO Analytics '!E11</f>
        <v>0</v>
      </c>
      <c r="H212">
        <f>' SEO Analytics '!F11</f>
        <v>0</v>
      </c>
      <c r="I212">
        <f>' SEO Analytics '!G11</f>
        <v>0</v>
      </c>
      <c r="J212">
        <f>' SEO Analytics '!H11</f>
        <v>0</v>
      </c>
      <c r="K212">
        <f>' SEO Analytics '!I11</f>
        <v>0</v>
      </c>
      <c r="L212">
        <f>' SEO Analytics '!J11</f>
        <v>0</v>
      </c>
      <c r="M212">
        <f>' SEO Analytics '!K11</f>
        <v>0</v>
      </c>
      <c r="N212">
        <f>' SEO Analytics '!L11</f>
        <v>0</v>
      </c>
      <c r="O212">
        <f>' SEO Analytics '!M11</f>
        <v>0</v>
      </c>
      <c r="P212">
        <f>' SEO Analytics '!N11</f>
        <v>0</v>
      </c>
    </row>
    <row r="213" spans="1:16" x14ac:dyDescent="0.25">
      <c r="A213" t="str">
        <f>' SEO Analytics '!$B$1</f>
        <v>SEO / Analytics</v>
      </c>
      <c r="B213">
        <f>' SEO Analytics '!$B$2</f>
        <v>0</v>
      </c>
      <c r="C213">
        <f>' SEO Analytics '!A12</f>
        <v>0</v>
      </c>
      <c r="D213">
        <f>' SEO Analytics '!B12</f>
        <v>0</v>
      </c>
      <c r="E213">
        <f>' SEO Analytics '!C12</f>
        <v>0</v>
      </c>
      <c r="F213">
        <f>' SEO Analytics '!D12</f>
        <v>0</v>
      </c>
      <c r="G213">
        <f>' SEO Analytics '!E12</f>
        <v>0</v>
      </c>
      <c r="H213">
        <f>' SEO Analytics '!F12</f>
        <v>0</v>
      </c>
      <c r="I213">
        <f>' SEO Analytics '!G12</f>
        <v>0</v>
      </c>
      <c r="J213">
        <f>' SEO Analytics '!H12</f>
        <v>0</v>
      </c>
      <c r="K213">
        <f>' SEO Analytics '!I12</f>
        <v>0</v>
      </c>
      <c r="L213">
        <f>' SEO Analytics '!J12</f>
        <v>0</v>
      </c>
      <c r="M213">
        <f>' SEO Analytics '!K12</f>
        <v>0</v>
      </c>
      <c r="N213">
        <f>' SEO Analytics '!L12</f>
        <v>0</v>
      </c>
      <c r="O213">
        <f>' SEO Analytics '!M12</f>
        <v>0</v>
      </c>
      <c r="P213">
        <f>' SEO Analytics '!N12</f>
        <v>0</v>
      </c>
    </row>
    <row r="214" spans="1:16" x14ac:dyDescent="0.25">
      <c r="A214" t="str">
        <f>' SEO Analytics '!$B$1</f>
        <v>SEO / Analytics</v>
      </c>
      <c r="B214">
        <f>' SEO Analytics '!$B$2</f>
        <v>0</v>
      </c>
      <c r="C214">
        <f>' SEO Analytics '!A13</f>
        <v>0</v>
      </c>
      <c r="D214">
        <f>' SEO Analytics '!B13</f>
        <v>0</v>
      </c>
      <c r="E214">
        <f>' SEO Analytics '!C13</f>
        <v>0</v>
      </c>
      <c r="F214">
        <f>' SEO Analytics '!D13</f>
        <v>0</v>
      </c>
      <c r="G214">
        <f>' SEO Analytics '!E13</f>
        <v>0</v>
      </c>
      <c r="H214">
        <f>' SEO Analytics '!F13</f>
        <v>0</v>
      </c>
      <c r="I214">
        <f>' SEO Analytics '!G13</f>
        <v>0</v>
      </c>
      <c r="J214">
        <f>' SEO Analytics '!H13</f>
        <v>0</v>
      </c>
      <c r="K214">
        <f>' SEO Analytics '!I13</f>
        <v>0</v>
      </c>
      <c r="L214">
        <f>' SEO Analytics '!J13</f>
        <v>0</v>
      </c>
      <c r="M214">
        <f>' SEO Analytics '!K13</f>
        <v>0</v>
      </c>
      <c r="N214">
        <f>' SEO Analytics '!L13</f>
        <v>0</v>
      </c>
      <c r="O214">
        <f>' SEO Analytics '!M13</f>
        <v>0</v>
      </c>
      <c r="P214">
        <f>' SEO Analytics '!N13</f>
        <v>0</v>
      </c>
    </row>
    <row r="215" spans="1:16" x14ac:dyDescent="0.25">
      <c r="A215" t="str">
        <f>' SEO Analytics '!$B$1</f>
        <v>SEO / Analytics</v>
      </c>
      <c r="B215">
        <f>' SEO Analytics '!$B$2</f>
        <v>0</v>
      </c>
      <c r="C215">
        <f>' SEO Analytics '!A14</f>
        <v>0</v>
      </c>
      <c r="D215">
        <f>' SEO Analytics '!B14</f>
        <v>0</v>
      </c>
      <c r="E215">
        <f>' SEO Analytics '!C14</f>
        <v>0</v>
      </c>
      <c r="F215">
        <f>' SEO Analytics '!D14</f>
        <v>0</v>
      </c>
      <c r="G215">
        <f>' SEO Analytics '!E14</f>
        <v>0</v>
      </c>
      <c r="H215">
        <f>' SEO Analytics '!F14</f>
        <v>0</v>
      </c>
      <c r="I215">
        <f>' SEO Analytics '!G14</f>
        <v>0</v>
      </c>
      <c r="J215">
        <f>' SEO Analytics '!H14</f>
        <v>0</v>
      </c>
      <c r="K215">
        <f>' SEO Analytics '!I14</f>
        <v>0</v>
      </c>
      <c r="L215">
        <f>' SEO Analytics '!J14</f>
        <v>0</v>
      </c>
      <c r="M215">
        <f>' SEO Analytics '!K14</f>
        <v>0</v>
      </c>
      <c r="N215">
        <f>' SEO Analytics '!L14</f>
        <v>0</v>
      </c>
      <c r="O215">
        <f>' SEO Analytics '!M14</f>
        <v>0</v>
      </c>
      <c r="P215">
        <f>' SEO Analytics '!N14</f>
        <v>0</v>
      </c>
    </row>
    <row r="216" spans="1:16" x14ac:dyDescent="0.25">
      <c r="A216" t="str">
        <f>' SEO Analytics '!$B$1</f>
        <v>SEO / Analytics</v>
      </c>
      <c r="B216">
        <f>' SEO Analytics '!$B$2</f>
        <v>0</v>
      </c>
      <c r="C216">
        <f>' SEO Analytics '!A15</f>
        <v>0</v>
      </c>
      <c r="D216">
        <f>' SEO Analytics '!B15</f>
        <v>0</v>
      </c>
      <c r="E216">
        <f>' SEO Analytics '!C15</f>
        <v>0</v>
      </c>
      <c r="F216">
        <f>' SEO Analytics '!D15</f>
        <v>0</v>
      </c>
      <c r="G216">
        <f>' SEO Analytics '!E15</f>
        <v>0</v>
      </c>
      <c r="H216">
        <f>' SEO Analytics '!F15</f>
        <v>0</v>
      </c>
      <c r="I216">
        <f>' SEO Analytics '!G15</f>
        <v>0</v>
      </c>
      <c r="J216">
        <f>' SEO Analytics '!H15</f>
        <v>0</v>
      </c>
      <c r="K216">
        <f>' SEO Analytics '!I15</f>
        <v>0</v>
      </c>
      <c r="L216">
        <f>' SEO Analytics '!J15</f>
        <v>0</v>
      </c>
      <c r="M216">
        <f>' SEO Analytics '!K15</f>
        <v>0</v>
      </c>
      <c r="N216">
        <f>' SEO Analytics '!L15</f>
        <v>0</v>
      </c>
      <c r="O216">
        <f>' SEO Analytics '!M15</f>
        <v>0</v>
      </c>
      <c r="P216">
        <f>' SEO Analytics '!N15</f>
        <v>0</v>
      </c>
    </row>
    <row r="217" spans="1:16" x14ac:dyDescent="0.25">
      <c r="A217" t="str">
        <f>' SEO Analytics '!$B$1</f>
        <v>SEO / Analytics</v>
      </c>
      <c r="B217">
        <f>' SEO Analytics '!$B$2</f>
        <v>0</v>
      </c>
      <c r="C217">
        <f>' SEO Analytics '!A16</f>
        <v>0</v>
      </c>
      <c r="D217">
        <f>' SEO Analytics '!B16</f>
        <v>0</v>
      </c>
      <c r="E217">
        <f>' SEO Analytics '!C16</f>
        <v>0</v>
      </c>
      <c r="F217">
        <f>' SEO Analytics '!D16</f>
        <v>0</v>
      </c>
      <c r="G217">
        <f>' SEO Analytics '!E16</f>
        <v>0</v>
      </c>
      <c r="H217">
        <f>' SEO Analytics '!F16</f>
        <v>0</v>
      </c>
      <c r="I217">
        <f>' SEO Analytics '!G16</f>
        <v>0</v>
      </c>
      <c r="J217">
        <f>' SEO Analytics '!H16</f>
        <v>0</v>
      </c>
      <c r="K217">
        <f>' SEO Analytics '!I16</f>
        <v>0</v>
      </c>
      <c r="L217">
        <f>' SEO Analytics '!J16</f>
        <v>0</v>
      </c>
      <c r="M217">
        <f>' SEO Analytics '!K16</f>
        <v>0</v>
      </c>
      <c r="N217">
        <f>' SEO Analytics '!L16</f>
        <v>0</v>
      </c>
      <c r="O217">
        <f>' SEO Analytics '!M16</f>
        <v>0</v>
      </c>
      <c r="P217">
        <f>' SEO Analytics '!N16</f>
        <v>0</v>
      </c>
    </row>
    <row r="218" spans="1:16" x14ac:dyDescent="0.25">
      <c r="A218" t="str">
        <f>' SEO Analytics '!$B$1</f>
        <v>SEO / Analytics</v>
      </c>
      <c r="B218">
        <f>' SEO Analytics '!$B$2</f>
        <v>0</v>
      </c>
      <c r="C218">
        <f>' SEO Analytics '!A17</f>
        <v>0</v>
      </c>
      <c r="D218">
        <f>' SEO Analytics '!B17</f>
        <v>0</v>
      </c>
      <c r="E218">
        <f>' SEO Analytics '!C17</f>
        <v>0</v>
      </c>
      <c r="F218">
        <f>' SEO Analytics '!D17</f>
        <v>0</v>
      </c>
      <c r="G218">
        <f>' SEO Analytics '!E17</f>
        <v>0</v>
      </c>
      <c r="H218">
        <f>' SEO Analytics '!F17</f>
        <v>0</v>
      </c>
      <c r="I218">
        <f>' SEO Analytics '!G17</f>
        <v>0</v>
      </c>
      <c r="J218">
        <f>' SEO Analytics '!H17</f>
        <v>0</v>
      </c>
      <c r="K218">
        <f>' SEO Analytics '!I17</f>
        <v>0</v>
      </c>
      <c r="L218">
        <f>' SEO Analytics '!J17</f>
        <v>0</v>
      </c>
      <c r="M218">
        <f>' SEO Analytics '!K17</f>
        <v>0</v>
      </c>
      <c r="N218">
        <f>' SEO Analytics '!L17</f>
        <v>0</v>
      </c>
      <c r="O218">
        <f>' SEO Analytics '!M17</f>
        <v>0</v>
      </c>
      <c r="P218">
        <f>' SEO Analytics '!N17</f>
        <v>0</v>
      </c>
    </row>
    <row r="219" spans="1:16" x14ac:dyDescent="0.25">
      <c r="A219" t="str">
        <f>' SEO Analytics '!$B$1</f>
        <v>SEO / Analytics</v>
      </c>
      <c r="B219">
        <f>' SEO Analytics '!$B$2</f>
        <v>0</v>
      </c>
      <c r="C219">
        <f>' SEO Analytics '!A18</f>
        <v>0</v>
      </c>
      <c r="D219">
        <f>' SEO Analytics '!B18</f>
        <v>0</v>
      </c>
      <c r="E219">
        <f>' SEO Analytics '!C18</f>
        <v>0</v>
      </c>
      <c r="F219">
        <f>' SEO Analytics '!D18</f>
        <v>0</v>
      </c>
      <c r="G219">
        <f>' SEO Analytics '!E18</f>
        <v>0</v>
      </c>
      <c r="H219">
        <f>' SEO Analytics '!F18</f>
        <v>0</v>
      </c>
      <c r="I219">
        <f>' SEO Analytics '!G18</f>
        <v>0</v>
      </c>
      <c r="J219">
        <f>' SEO Analytics '!H18</f>
        <v>0</v>
      </c>
      <c r="K219">
        <f>' SEO Analytics '!I18</f>
        <v>0</v>
      </c>
      <c r="L219">
        <f>' SEO Analytics '!J18</f>
        <v>0</v>
      </c>
      <c r="M219">
        <f>' SEO Analytics '!K18</f>
        <v>0</v>
      </c>
      <c r="N219">
        <f>' SEO Analytics '!L18</f>
        <v>0</v>
      </c>
      <c r="O219">
        <f>' SEO Analytics '!M18</f>
        <v>0</v>
      </c>
      <c r="P219">
        <f>' SEO Analytics '!N18</f>
        <v>0</v>
      </c>
    </row>
    <row r="220" spans="1:16" x14ac:dyDescent="0.25">
      <c r="A220" t="str">
        <f>' SEO Analytics '!$B$1</f>
        <v>SEO / Analytics</v>
      </c>
      <c r="B220">
        <f>' SEO Analytics '!$B$2</f>
        <v>0</v>
      </c>
      <c r="C220">
        <f>' SEO Analytics '!A19</f>
        <v>0</v>
      </c>
      <c r="D220">
        <f>' SEO Analytics '!B19</f>
        <v>0</v>
      </c>
      <c r="E220">
        <f>' SEO Analytics '!C19</f>
        <v>0</v>
      </c>
      <c r="F220">
        <f>' SEO Analytics '!D19</f>
        <v>0</v>
      </c>
      <c r="G220">
        <f>' SEO Analytics '!E19</f>
        <v>0</v>
      </c>
      <c r="H220">
        <f>' SEO Analytics '!F19</f>
        <v>0</v>
      </c>
      <c r="I220">
        <f>' SEO Analytics '!G19</f>
        <v>0</v>
      </c>
      <c r="J220">
        <f>' SEO Analytics '!H19</f>
        <v>0</v>
      </c>
      <c r="K220">
        <f>' SEO Analytics '!I19</f>
        <v>0</v>
      </c>
      <c r="L220">
        <f>' SEO Analytics '!J19</f>
        <v>0</v>
      </c>
      <c r="M220">
        <f>' SEO Analytics '!K19</f>
        <v>0</v>
      </c>
      <c r="N220">
        <f>' SEO Analytics '!L19</f>
        <v>0</v>
      </c>
      <c r="O220">
        <f>' SEO Analytics '!M19</f>
        <v>0</v>
      </c>
      <c r="P220">
        <f>' SEO Analytics '!N19</f>
        <v>0</v>
      </c>
    </row>
    <row r="221" spans="1:16" x14ac:dyDescent="0.25">
      <c r="A221" t="str">
        <f>' SEO Analytics '!$B$1</f>
        <v>SEO / Analytics</v>
      </c>
      <c r="B221">
        <f>' SEO Analytics '!$B$2</f>
        <v>0</v>
      </c>
      <c r="C221">
        <f>' SEO Analytics '!A20</f>
        <v>0</v>
      </c>
      <c r="D221">
        <f>' SEO Analytics '!B20</f>
        <v>0</v>
      </c>
      <c r="E221">
        <f>' SEO Analytics '!C20</f>
        <v>0</v>
      </c>
      <c r="F221">
        <f>' SEO Analytics '!D20</f>
        <v>0</v>
      </c>
      <c r="G221">
        <f>' SEO Analytics '!E20</f>
        <v>0</v>
      </c>
      <c r="H221">
        <f>' SEO Analytics '!F20</f>
        <v>0</v>
      </c>
      <c r="I221">
        <f>' SEO Analytics '!G20</f>
        <v>0</v>
      </c>
      <c r="J221">
        <f>' SEO Analytics '!H20</f>
        <v>0</v>
      </c>
      <c r="K221">
        <f>' SEO Analytics '!I20</f>
        <v>0</v>
      </c>
      <c r="L221">
        <f>' SEO Analytics '!J20</f>
        <v>0</v>
      </c>
      <c r="M221">
        <f>' SEO Analytics '!K20</f>
        <v>0</v>
      </c>
      <c r="N221">
        <f>' SEO Analytics '!L20</f>
        <v>0</v>
      </c>
      <c r="O221">
        <f>' SEO Analytics '!M20</f>
        <v>0</v>
      </c>
      <c r="P221">
        <f>' SEO Analytics '!N20</f>
        <v>0</v>
      </c>
    </row>
    <row r="222" spans="1:16" x14ac:dyDescent="0.25">
      <c r="H222" s="61"/>
      <c r="I222" s="61"/>
    </row>
    <row r="223" spans="1:16" x14ac:dyDescent="0.25">
      <c r="H223" s="61"/>
      <c r="I223" s="61"/>
    </row>
    <row r="224" spans="1:16" x14ac:dyDescent="0.25">
      <c r="H224" s="61"/>
      <c r="I224" s="61"/>
    </row>
    <row r="225" spans="1:16" x14ac:dyDescent="0.25">
      <c r="H225" s="61"/>
      <c r="I225" s="61"/>
    </row>
    <row r="226" spans="1:16" x14ac:dyDescent="0.25">
      <c r="A226" t="str">
        <f>OMAR!$B$1</f>
        <v>OMAR</v>
      </c>
      <c r="B226">
        <f>OMAR!$B$2</f>
        <v>0</v>
      </c>
      <c r="C226" t="str">
        <f>OMAR!A4</f>
        <v>Public Web</v>
      </c>
      <c r="D226" t="str">
        <f>OMAR!B4</f>
        <v>OMAR</v>
      </c>
      <c r="E226" t="str">
        <f>OMAR!C4</f>
        <v>OMAR</v>
      </c>
      <c r="F226" t="str">
        <f>OMAR!D4</f>
        <v>OMAR</v>
      </c>
      <c r="G226" t="str">
        <f>OMAR!E4</f>
        <v xml:space="preserve">Engagement required to communicate  recalibration  of project to various  OMAR Stakeholder </v>
      </c>
      <c r="H226">
        <f>OMAR!F4</f>
        <v>46181</v>
      </c>
      <c r="I226">
        <f>OMAR!G4</f>
        <v>46203</v>
      </c>
      <c r="J226">
        <f>OMAR!H4</f>
        <v>17</v>
      </c>
      <c r="K226">
        <f>OMAR!I4</f>
        <v>0.7</v>
      </c>
      <c r="L226" t="str">
        <f>OMAR!J4</f>
        <v>Critical</v>
      </c>
      <c r="M226" t="str">
        <f>OMAR!K4</f>
        <v>No</v>
      </c>
      <c r="N226" t="str">
        <f>OMAR!L4</f>
        <v xml:space="preserve">Nothing ,  we need a clears comms plan for OMAR </v>
      </c>
      <c r="O226" t="str">
        <f>OMAR!M4</f>
        <v>In Progress</v>
      </c>
      <c r="P226" t="str">
        <f>OMAR!N4</f>
        <v xml:space="preserve">Engagement with OMAR teams are required in order to  assist them with the recalibration of their plans, the plan must take into account  Navigation and plan changes </v>
      </c>
    </row>
    <row r="227" spans="1:16" x14ac:dyDescent="0.25">
      <c r="A227" t="str">
        <f>OMAR!$B$1</f>
        <v>OMAR</v>
      </c>
      <c r="B227">
        <f>OMAR!$B$2</f>
        <v>0</v>
      </c>
      <c r="C227" t="str">
        <f>OMAR!A5</f>
        <v>Public Web</v>
      </c>
      <c r="D227" t="str">
        <f>OMAR!B5</f>
        <v>Botswana</v>
      </c>
      <c r="E227" t="str">
        <f>OMAR!C5</f>
        <v>Botswana</v>
      </c>
      <c r="F227" t="str">
        <f>OMAR!D5</f>
        <v>Botswana</v>
      </c>
      <c r="G227" t="str">
        <f>OMAR!E5</f>
        <v>Publishing of all pages in V2 New platform</v>
      </c>
      <c r="H227" t="str">
        <f>OMAR!F5</f>
        <v>TBC</v>
      </c>
      <c r="I227" t="str">
        <f>OMAR!G5</f>
        <v xml:space="preserve">TBC </v>
      </c>
      <c r="J227" t="str">
        <f>OMAR!H5</f>
        <v xml:space="preserve">TBC </v>
      </c>
      <c r="K227">
        <f>OMAR!I5</f>
        <v>0.1</v>
      </c>
      <c r="L227" t="str">
        <f>OMAR!J5</f>
        <v>High</v>
      </c>
      <c r="M227" t="str">
        <f>OMAR!K5</f>
        <v>Yes</v>
      </c>
      <c r="N227" t="str">
        <f>OMAR!L5</f>
        <v>Design / Design Systems / Development</v>
      </c>
      <c r="O227" t="str">
        <f>OMAR!M5</f>
        <v>Not Started</v>
      </c>
      <c r="P227" t="str">
        <f>OMAR!N5</f>
        <v>Engagement with OMAR teams is required in order to determine who will be responsible for the publishing work. Work can only begin once all upstream teams have completed their work</v>
      </c>
    </row>
    <row r="228" spans="1:16" x14ac:dyDescent="0.25">
      <c r="A228" t="str">
        <f>OMAR!$B$1</f>
        <v>OMAR</v>
      </c>
      <c r="B228">
        <f>OMAR!$B$2</f>
        <v>0</v>
      </c>
      <c r="C228" t="str">
        <f>OMAR!A6</f>
        <v>Public Web</v>
      </c>
      <c r="D228" t="str">
        <f>OMAR!B6</f>
        <v>Ghana</v>
      </c>
      <c r="E228" t="str">
        <f>OMAR!C6</f>
        <v>Ghana</v>
      </c>
      <c r="F228" t="str">
        <f>OMAR!D6</f>
        <v>Ghana</v>
      </c>
      <c r="G228" t="str">
        <f>OMAR!E6</f>
        <v>Publishing of all pages in V2 New platform</v>
      </c>
      <c r="H228" t="str">
        <f>OMAR!F6</f>
        <v>TBC</v>
      </c>
      <c r="I228" t="str">
        <f>OMAR!G6</f>
        <v xml:space="preserve">TBC </v>
      </c>
      <c r="J228" t="str">
        <f>OMAR!H6</f>
        <v xml:space="preserve">TBC </v>
      </c>
      <c r="K228">
        <f>OMAR!I6</f>
        <v>0.1</v>
      </c>
      <c r="L228" t="str">
        <f>OMAR!J6</f>
        <v>High</v>
      </c>
      <c r="M228" t="str">
        <f>OMAR!K6</f>
        <v>Yes</v>
      </c>
      <c r="N228" t="str">
        <f>OMAR!L6</f>
        <v>Design / Design Systems / Development</v>
      </c>
      <c r="O228" t="str">
        <f>OMAR!M6</f>
        <v>Not Started</v>
      </c>
      <c r="P228" t="str">
        <f>OMAR!N6</f>
        <v>Engagement with OMAR teams is required in order to determine who will be responsible for the publishing work. Work can only begin once all upstream teams have completed their work</v>
      </c>
    </row>
    <row r="229" spans="1:16" x14ac:dyDescent="0.25">
      <c r="A229" t="str">
        <f>OMAR!$B$1</f>
        <v>OMAR</v>
      </c>
      <c r="B229">
        <f>OMAR!$B$2</f>
        <v>0</v>
      </c>
      <c r="C229" t="str">
        <f>OMAR!A7</f>
        <v>Public Web</v>
      </c>
      <c r="D229" t="str">
        <f>OMAR!B7</f>
        <v>Kenya</v>
      </c>
      <c r="E229" t="str">
        <f>OMAR!C7</f>
        <v>Kenya</v>
      </c>
      <c r="F229" t="str">
        <f>OMAR!D7</f>
        <v>Kenya</v>
      </c>
      <c r="G229" t="str">
        <f>OMAR!E7</f>
        <v>Publishing of all pages in V2 New platform</v>
      </c>
      <c r="H229" t="str">
        <f>OMAR!F7</f>
        <v>TBC</v>
      </c>
      <c r="I229" t="str">
        <f>OMAR!G7</f>
        <v xml:space="preserve">TBC </v>
      </c>
      <c r="J229" t="str">
        <f>OMAR!H7</f>
        <v xml:space="preserve">TBC </v>
      </c>
      <c r="K229">
        <f>OMAR!I7</f>
        <v>0.1</v>
      </c>
      <c r="L229" t="str">
        <f>OMAR!J7</f>
        <v>High</v>
      </c>
      <c r="M229" t="str">
        <f>OMAR!K7</f>
        <v>Yes</v>
      </c>
      <c r="N229" t="str">
        <f>OMAR!L7</f>
        <v>Design / Design Systems / Development</v>
      </c>
      <c r="O229" t="str">
        <f>OMAR!M7</f>
        <v>Not Started</v>
      </c>
      <c r="P229" t="str">
        <f>OMAR!N7</f>
        <v>Engagement with OMAR teams is required in order to determine who will be responsible for the publishing work. Work can only begin once all upstream teams have completed their work</v>
      </c>
    </row>
    <row r="230" spans="1:16" x14ac:dyDescent="0.25">
      <c r="A230" t="str">
        <f>OMAR!$B$1</f>
        <v>OMAR</v>
      </c>
      <c r="B230">
        <f>OMAR!$B$2</f>
        <v>0</v>
      </c>
      <c r="C230" t="str">
        <f>OMAR!A8</f>
        <v>Public Web</v>
      </c>
      <c r="D230" t="str">
        <f>OMAR!B8</f>
        <v>Namibia</v>
      </c>
      <c r="E230" t="str">
        <f>OMAR!C8</f>
        <v>Namibia</v>
      </c>
      <c r="F230" t="str">
        <f>OMAR!D8</f>
        <v>Namibia</v>
      </c>
      <c r="G230" t="str">
        <f>OMAR!E8</f>
        <v>Publishing of all pages in V2 New platform</v>
      </c>
      <c r="H230" t="str">
        <f>OMAR!F8</f>
        <v>TBC</v>
      </c>
      <c r="I230" t="str">
        <f>OMAR!G8</f>
        <v xml:space="preserve">TBC </v>
      </c>
      <c r="J230" t="str">
        <f>OMAR!H8</f>
        <v xml:space="preserve">TBC </v>
      </c>
      <c r="K230">
        <f>OMAR!I8</f>
        <v>0.1</v>
      </c>
      <c r="L230" t="str">
        <f>OMAR!J8</f>
        <v>High</v>
      </c>
      <c r="M230" t="str">
        <f>OMAR!K8</f>
        <v>Yes</v>
      </c>
      <c r="N230" t="str">
        <f>OMAR!L8</f>
        <v>Design / Design Systems / Development</v>
      </c>
      <c r="O230" t="str">
        <f>OMAR!M8</f>
        <v>Not Started</v>
      </c>
      <c r="P230" t="str">
        <f>OMAR!N8</f>
        <v>Engagement with OMAR teams is required in order to determine who will be responsible for the publishing work. Work can only begin once all upstream teams have completed their work</v>
      </c>
    </row>
    <row r="231" spans="1:16" x14ac:dyDescent="0.25">
      <c r="A231" t="str">
        <f>OMAR!$B$1</f>
        <v>OMAR</v>
      </c>
      <c r="B231">
        <f>OMAR!$B$2</f>
        <v>0</v>
      </c>
      <c r="C231" t="str">
        <f>OMAR!A9</f>
        <v>Public Web</v>
      </c>
      <c r="D231" t="str">
        <f>OMAR!B9</f>
        <v>Rwanda</v>
      </c>
      <c r="E231" t="str">
        <f>OMAR!C9</f>
        <v>Rwanda</v>
      </c>
      <c r="F231" t="str">
        <f>OMAR!D9</f>
        <v>Rwanda</v>
      </c>
      <c r="G231" t="str">
        <f>OMAR!E9</f>
        <v>Publishing of all pages in V2 New platform</v>
      </c>
      <c r="H231" t="str">
        <f>OMAR!F9</f>
        <v>TBC</v>
      </c>
      <c r="I231" t="str">
        <f>OMAR!G9</f>
        <v xml:space="preserve">TBC </v>
      </c>
      <c r="J231" t="str">
        <f>OMAR!H9</f>
        <v xml:space="preserve">TBC </v>
      </c>
      <c r="K231">
        <f>OMAR!I9</f>
        <v>0.1</v>
      </c>
      <c r="L231" t="str">
        <f>OMAR!J9</f>
        <v>High</v>
      </c>
      <c r="M231" t="str">
        <f>OMAR!K9</f>
        <v>Yes</v>
      </c>
      <c r="N231" t="str">
        <f>OMAR!L9</f>
        <v>Design / Design Systems / Development</v>
      </c>
      <c r="O231" t="str">
        <f>OMAR!M9</f>
        <v>Not Started</v>
      </c>
      <c r="P231" t="str">
        <f>OMAR!N9</f>
        <v>Engagement with OMAR teams is required in order to determine who will be responsible for the publishing work. Work can only begin once all upstream teams have completed their work</v>
      </c>
    </row>
    <row r="232" spans="1:16" x14ac:dyDescent="0.25">
      <c r="A232" t="str">
        <f>OMAR!$B$1</f>
        <v>OMAR</v>
      </c>
      <c r="B232">
        <f>OMAR!$B$2</f>
        <v>0</v>
      </c>
      <c r="C232" t="str">
        <f>OMAR!A10</f>
        <v>Public Web</v>
      </c>
      <c r="D232" t="str">
        <f>OMAR!B10</f>
        <v>Uganda</v>
      </c>
      <c r="E232" t="str">
        <f>OMAR!C10</f>
        <v>Uganda</v>
      </c>
      <c r="F232" t="str">
        <f>OMAR!D10</f>
        <v>Uganda</v>
      </c>
      <c r="G232" t="str">
        <f>OMAR!E10</f>
        <v>Publishing of all pages in V2 New platform</v>
      </c>
      <c r="H232" t="str">
        <f>OMAR!F10</f>
        <v>TBC</v>
      </c>
      <c r="I232" t="str">
        <f>OMAR!G10</f>
        <v xml:space="preserve">TBC </v>
      </c>
      <c r="J232" t="str">
        <f>OMAR!H10</f>
        <v xml:space="preserve">TBC </v>
      </c>
      <c r="K232">
        <f>OMAR!I10</f>
        <v>0.1</v>
      </c>
      <c r="L232" t="str">
        <f>OMAR!J10</f>
        <v>High</v>
      </c>
      <c r="M232" t="str">
        <f>OMAR!K10</f>
        <v>Yes</v>
      </c>
      <c r="N232" t="str">
        <f>OMAR!L10</f>
        <v>Design / Design Systems / Development</v>
      </c>
      <c r="O232" t="str">
        <f>OMAR!M10</f>
        <v>Not Started</v>
      </c>
      <c r="P232" t="str">
        <f>OMAR!N10</f>
        <v>Engagement with OMAR teams is required in order to determine who will be responsible for the publishing work. Work can only begin once all upstream teams have completed their work</v>
      </c>
    </row>
    <row r="233" spans="1:16" x14ac:dyDescent="0.25">
      <c r="A233" t="str">
        <f>OMAR!$B$1</f>
        <v>OMAR</v>
      </c>
      <c r="B233">
        <f>OMAR!$B$2</f>
        <v>0</v>
      </c>
      <c r="C233" t="str">
        <f>OMAR!A11</f>
        <v>Public Web</v>
      </c>
      <c r="D233" t="str">
        <f>OMAR!B11</f>
        <v>Zimbabwe</v>
      </c>
      <c r="E233" t="str">
        <f>OMAR!C11</f>
        <v>Zimbabwe</v>
      </c>
      <c r="F233" t="str">
        <f>OMAR!D11</f>
        <v>Zimbabwe</v>
      </c>
      <c r="G233" t="str">
        <f>OMAR!E11</f>
        <v>Publishing of all pages in V2 New platform</v>
      </c>
      <c r="H233" t="str">
        <f>OMAR!F11</f>
        <v>TBC</v>
      </c>
      <c r="I233" t="str">
        <f>OMAR!G11</f>
        <v xml:space="preserve">TBC </v>
      </c>
      <c r="J233" t="str">
        <f>OMAR!H11</f>
        <v xml:space="preserve">TBC </v>
      </c>
      <c r="K233">
        <f>OMAR!I11</f>
        <v>0.1</v>
      </c>
      <c r="L233" t="str">
        <f>OMAR!J11</f>
        <v>High</v>
      </c>
      <c r="M233" t="str">
        <f>OMAR!K11</f>
        <v>Yes</v>
      </c>
      <c r="N233" t="str">
        <f>OMAR!L11</f>
        <v>Design / Design Systems / Development</v>
      </c>
      <c r="O233" t="str">
        <f>OMAR!M11</f>
        <v>Not Started</v>
      </c>
      <c r="P233" t="str">
        <f>OMAR!N11</f>
        <v>Engagement with OMAR teams is required in order to determine who will be responsible for the publishing work. Work can only begin once all upstream teams have completed their work</v>
      </c>
    </row>
    <row r="234" spans="1:16" x14ac:dyDescent="0.25">
      <c r="A234" t="str">
        <f>OMAR!$B$1</f>
        <v>OMAR</v>
      </c>
      <c r="B234">
        <f>OMAR!$B$2</f>
        <v>0</v>
      </c>
      <c r="C234" t="str">
        <f>OMAR!A12</f>
        <v>Public Web</v>
      </c>
      <c r="D234" t="str">
        <f>OMAR!B12</f>
        <v>Namibia</v>
      </c>
      <c r="E234" t="str">
        <f>OMAR!C12</f>
        <v>Namibia</v>
      </c>
      <c r="F234" t="str">
        <f>OMAR!D12</f>
        <v>Namibia</v>
      </c>
      <c r="G234" t="str">
        <f>OMAR!E12</f>
        <v>Publishing of all pages in V2 New platform</v>
      </c>
      <c r="H234" t="str">
        <f>OMAR!F12</f>
        <v>TBC</v>
      </c>
      <c r="I234" t="str">
        <f>OMAR!G12</f>
        <v xml:space="preserve">TBC </v>
      </c>
      <c r="J234" t="str">
        <f>OMAR!H12</f>
        <v xml:space="preserve">TBC </v>
      </c>
      <c r="K234">
        <f>OMAR!I12</f>
        <v>0.1</v>
      </c>
      <c r="L234" t="str">
        <f>OMAR!J12</f>
        <v>High</v>
      </c>
      <c r="M234" t="str">
        <f>OMAR!K12</f>
        <v>Yes</v>
      </c>
      <c r="N234" t="str">
        <f>OMAR!L12</f>
        <v>Design / Design Systems / Development</v>
      </c>
      <c r="O234" t="str">
        <f>OMAR!M12</f>
        <v>Not Started</v>
      </c>
      <c r="P234">
        <f>OMAR!N12</f>
        <v>0</v>
      </c>
    </row>
    <row r="235" spans="1:16" x14ac:dyDescent="0.25">
      <c r="A235" t="str">
        <f>OMAR!$B$1</f>
        <v>OMAR</v>
      </c>
      <c r="B235">
        <f>OMAR!$B$2</f>
        <v>0</v>
      </c>
      <c r="C235" t="str">
        <f>OMAR!A13</f>
        <v>Public Web</v>
      </c>
      <c r="D235" t="str">
        <f>OMAR!B13</f>
        <v>Ghana</v>
      </c>
      <c r="E235" t="str">
        <f>OMAR!C13</f>
        <v>Ghana</v>
      </c>
      <c r="F235" t="str">
        <f>OMAR!D13</f>
        <v xml:space="preserve">Ghana </v>
      </c>
      <c r="G235" t="str">
        <f>OMAR!E13</f>
        <v xml:space="preserve">Travel Insurance Sales Migation </v>
      </c>
      <c r="H235">
        <f>OMAR!F13</f>
        <v>46221</v>
      </c>
      <c r="I235">
        <f>OMAR!G13</f>
        <v>46234</v>
      </c>
      <c r="J235">
        <f>OMAR!H13</f>
        <v>10</v>
      </c>
      <c r="K235">
        <f>OMAR!I13</f>
        <v>0.4</v>
      </c>
      <c r="L235" t="str">
        <f>OMAR!J13</f>
        <v>High</v>
      </c>
      <c r="M235" t="str">
        <f>OMAR!K13</f>
        <v>Yes</v>
      </c>
      <c r="N235">
        <f>OMAR!L13</f>
        <v>0</v>
      </c>
      <c r="O235" t="str">
        <f>OMAR!M13</f>
        <v>In Progress</v>
      </c>
      <c r="P235">
        <f>OMAR!N13</f>
        <v>0</v>
      </c>
    </row>
    <row r="236" spans="1:16" x14ac:dyDescent="0.25">
      <c r="A236" t="str">
        <f>OMAR!$B$1</f>
        <v>OMAR</v>
      </c>
      <c r="B236">
        <f>OMAR!$B$2</f>
        <v>0</v>
      </c>
      <c r="C236" t="str">
        <f>OMAR!A14</f>
        <v>Public Web</v>
      </c>
      <c r="D236" t="str">
        <f>OMAR!B14</f>
        <v>Ghana</v>
      </c>
      <c r="E236" t="str">
        <f>OMAR!C14</f>
        <v>Ghana</v>
      </c>
      <c r="F236" t="str">
        <f>OMAR!D14</f>
        <v xml:space="preserve">Ghana </v>
      </c>
      <c r="G236" t="str">
        <f>OMAR!E14</f>
        <v xml:space="preserve">Mvest </v>
      </c>
      <c r="H236">
        <f>OMAR!F14</f>
        <v>46221</v>
      </c>
      <c r="I236">
        <f>OMAR!G14</f>
        <v>46234</v>
      </c>
      <c r="J236">
        <f>OMAR!H14</f>
        <v>10</v>
      </c>
      <c r="K236">
        <f>OMAR!I14</f>
        <v>0.4</v>
      </c>
      <c r="L236" t="str">
        <f>OMAR!J14</f>
        <v>High</v>
      </c>
      <c r="M236" t="str">
        <f>OMAR!K14</f>
        <v>Yes</v>
      </c>
      <c r="N236">
        <f>OMAR!L14</f>
        <v>0</v>
      </c>
      <c r="O236" t="str">
        <f>OMAR!M14</f>
        <v>In Progress</v>
      </c>
      <c r="P236">
        <f>OMAR!N14</f>
        <v>0</v>
      </c>
    </row>
    <row r="237" spans="1:16" x14ac:dyDescent="0.25">
      <c r="A237" t="str">
        <f>OMAR!$B$1</f>
        <v>OMAR</v>
      </c>
      <c r="B237">
        <f>OMAR!$B$2</f>
        <v>0</v>
      </c>
      <c r="C237" t="str">
        <f>OMAR!A15</f>
        <v>Public Web</v>
      </c>
      <c r="D237" t="str">
        <f>OMAR!B15</f>
        <v>Namibia</v>
      </c>
      <c r="E237" t="str">
        <f>OMAR!C15</f>
        <v>Namibia</v>
      </c>
      <c r="F237" t="str">
        <f>OMAR!D15</f>
        <v>Namibia</v>
      </c>
      <c r="G237" t="str">
        <f>OMAR!E15</f>
        <v>Personal Loan Application</v>
      </c>
      <c r="H237">
        <f>OMAR!F15</f>
        <v>46169</v>
      </c>
      <c r="I237">
        <f>OMAR!G15</f>
        <v>46234</v>
      </c>
      <c r="J237">
        <f>OMAR!H15</f>
        <v>48</v>
      </c>
      <c r="K237">
        <f>OMAR!I15</f>
        <v>0.5</v>
      </c>
      <c r="L237" t="str">
        <f>OMAR!J15</f>
        <v>High</v>
      </c>
      <c r="M237" t="str">
        <f>OMAR!K15</f>
        <v>Yes</v>
      </c>
      <c r="N237">
        <f>OMAR!L15</f>
        <v>0</v>
      </c>
      <c r="O237" t="str">
        <f>OMAR!M15</f>
        <v>In Progress</v>
      </c>
      <c r="P237">
        <f>OMAR!N15</f>
        <v>0</v>
      </c>
    </row>
    <row r="238" spans="1:16" x14ac:dyDescent="0.25">
      <c r="A238" t="str">
        <f>OMAR!$B$1</f>
        <v>OMAR</v>
      </c>
      <c r="B238">
        <f>OMAR!$B$2</f>
        <v>0</v>
      </c>
      <c r="C238" t="str">
        <f>OMAR!A16</f>
        <v>Public Web</v>
      </c>
      <c r="D238" t="str">
        <f>OMAR!B16</f>
        <v>Namibia</v>
      </c>
      <c r="E238" t="str">
        <f>OMAR!C16</f>
        <v>Namibia</v>
      </c>
      <c r="F238" t="str">
        <f>OMAR!D16</f>
        <v>Namibia</v>
      </c>
      <c r="G238" t="str">
        <f>OMAR!E16</f>
        <v xml:space="preserve">Pesonal  Loan Repayment Calculator </v>
      </c>
      <c r="H238">
        <f>OMAR!F16</f>
        <v>46221</v>
      </c>
      <c r="I238">
        <f>OMAR!G16</f>
        <v>46234</v>
      </c>
      <c r="J238">
        <f>OMAR!H16</f>
        <v>10</v>
      </c>
      <c r="K238">
        <f>OMAR!I16</f>
        <v>0.5</v>
      </c>
      <c r="L238" t="str">
        <f>OMAR!J16</f>
        <v>High</v>
      </c>
      <c r="M238" t="str">
        <f>OMAR!K16</f>
        <v>Yes</v>
      </c>
      <c r="N238">
        <f>OMAR!L16</f>
        <v>0</v>
      </c>
      <c r="O238" t="str">
        <f>OMAR!M16</f>
        <v>In Progress</v>
      </c>
      <c r="P238">
        <f>OMAR!N16</f>
        <v>0</v>
      </c>
    </row>
    <row r="239" spans="1:16" x14ac:dyDescent="0.25">
      <c r="A239" t="str">
        <f>OMAR!$B$1</f>
        <v>OMAR</v>
      </c>
      <c r="B239">
        <f>OMAR!$B$2</f>
        <v>0</v>
      </c>
      <c r="C239" t="str">
        <f>OMAR!A17</f>
        <v>Secure Web</v>
      </c>
      <c r="D239" t="str">
        <f>OMAR!B17</f>
        <v>Namibia</v>
      </c>
      <c r="E239" t="str">
        <f>OMAR!C17</f>
        <v>Namibia</v>
      </c>
      <c r="F239" t="str">
        <f>OMAR!D17</f>
        <v>Namibia</v>
      </c>
      <c r="G239" t="str">
        <f>OMAR!E17</f>
        <v>Migration of Secure Web</v>
      </c>
      <c r="H239" t="str">
        <f>OMAR!F17</f>
        <v>TBC</v>
      </c>
      <c r="I239" t="str">
        <f>OMAR!G17</f>
        <v>TBC</v>
      </c>
      <c r="J239" t="str">
        <f>OMAR!H17</f>
        <v>TBC</v>
      </c>
      <c r="K239">
        <f>OMAR!I17</f>
        <v>0.1</v>
      </c>
      <c r="L239" t="str">
        <f>OMAR!J17</f>
        <v>High</v>
      </c>
      <c r="M239" t="str">
        <f>OMAR!K17</f>
        <v>Yes</v>
      </c>
      <c r="N239" t="str">
        <f>OMAR!L17</f>
        <v>Designs for their Secure WEB</v>
      </c>
      <c r="O239" t="str">
        <f>OMAR!M17</f>
        <v>Not Started</v>
      </c>
      <c r="P239" t="str">
        <f>OMAR!N17</f>
        <v xml:space="preserve">Resource  constraints  2 people looking after 2 platforms </v>
      </c>
    </row>
    <row r="240" spans="1:16" x14ac:dyDescent="0.25">
      <c r="A240" t="str">
        <f>OMAR!$B$1</f>
        <v>OMAR</v>
      </c>
      <c r="B240">
        <f>OMAR!$B$2</f>
        <v>0</v>
      </c>
      <c r="C240" t="str">
        <f>OMAR!A18</f>
        <v>Secure Web</v>
      </c>
      <c r="D240" t="str">
        <f>OMAR!B18</f>
        <v>Namibia</v>
      </c>
      <c r="E240" t="str">
        <f>OMAR!C18</f>
        <v>Namibia</v>
      </c>
      <c r="F240" t="str">
        <f>OMAR!D18</f>
        <v>Namibia</v>
      </c>
      <c r="G240" t="str">
        <f>OMAR!E18</f>
        <v xml:space="preserve">Service Transactions </v>
      </c>
      <c r="H240" t="str">
        <f>OMAR!F18</f>
        <v>TBC</v>
      </c>
      <c r="I240" t="str">
        <f>OMAR!G18</f>
        <v>TBC</v>
      </c>
      <c r="J240" t="str">
        <f>OMAR!H18</f>
        <v>TBC</v>
      </c>
      <c r="K240">
        <f>OMAR!I18</f>
        <v>0</v>
      </c>
      <c r="L240" t="str">
        <f>OMAR!J18</f>
        <v>High</v>
      </c>
      <c r="M240" t="str">
        <f>OMAR!K18</f>
        <v>Yes</v>
      </c>
      <c r="N240">
        <f>OMAR!L18</f>
        <v>0</v>
      </c>
      <c r="O240" t="str">
        <f>OMAR!M18</f>
        <v>Not Started</v>
      </c>
      <c r="P240">
        <f>OMAR!N18</f>
        <v>0</v>
      </c>
    </row>
    <row r="241" spans="1:16" x14ac:dyDescent="0.25">
      <c r="A241" t="str">
        <f>OMAR!$B$1</f>
        <v>OMAR</v>
      </c>
      <c r="B241">
        <f>OMAR!$B$2</f>
        <v>0</v>
      </c>
      <c r="C241" t="str">
        <f>OMAR!A19</f>
        <v>Public Web</v>
      </c>
      <c r="D241" t="str">
        <f>OMAR!B19</f>
        <v>Ghana</v>
      </c>
      <c r="E241" t="str">
        <f>OMAR!C19</f>
        <v>Eswatini</v>
      </c>
      <c r="F241" t="str">
        <f>OMAR!D19</f>
        <v>Eswatini</v>
      </c>
      <c r="G241" t="str">
        <f>OMAR!E19</f>
        <v xml:space="preserve">Eswatini Funeral  </v>
      </c>
      <c r="H241">
        <f>OMAR!F19</f>
        <v>46049</v>
      </c>
      <c r="I241" t="str">
        <f>OMAR!G19</f>
        <v>TBC</v>
      </c>
      <c r="J241" t="str">
        <f>OMAR!H19</f>
        <v>TBC</v>
      </c>
      <c r="K241">
        <f>OMAR!I19</f>
        <v>0.7</v>
      </c>
      <c r="L241" t="str">
        <f>OMAR!J19</f>
        <v>High</v>
      </c>
      <c r="M241" t="str">
        <f>OMAR!K19</f>
        <v>Yes</v>
      </c>
      <c r="N241">
        <f>OMAR!L19</f>
        <v>0</v>
      </c>
      <c r="O241" t="str">
        <f>OMAR!M19</f>
        <v>In Progress</v>
      </c>
      <c r="P241" t="str">
        <f>OMAR!N19</f>
        <v>testing in progress</v>
      </c>
    </row>
    <row r="242" spans="1:16" x14ac:dyDescent="0.25">
      <c r="A242" t="str">
        <f>OMAR!$B$1</f>
        <v>OMAR</v>
      </c>
      <c r="B242">
        <f>OMAR!$B$2</f>
        <v>0</v>
      </c>
      <c r="C242" t="str">
        <f>OMAR!A20</f>
        <v>Public Web</v>
      </c>
      <c r="D242" t="str">
        <f>OMAR!B20</f>
        <v>Botswana</v>
      </c>
      <c r="E242" t="str">
        <f>OMAR!C20</f>
        <v>Botswana</v>
      </c>
      <c r="F242" t="str">
        <f>OMAR!D20</f>
        <v>Botswana</v>
      </c>
      <c r="G242" t="str">
        <f>OMAR!E20</f>
        <v xml:space="preserve">Funeral Claims - Servicing Journey </v>
      </c>
      <c r="H242" t="str">
        <f>OMAR!F20</f>
        <v>TBC</v>
      </c>
      <c r="I242" t="str">
        <f>OMAR!G20</f>
        <v>TBC</v>
      </c>
      <c r="J242" t="str">
        <f>OMAR!H20</f>
        <v>TBC</v>
      </c>
      <c r="K242">
        <f>OMAR!I20</f>
        <v>0.1</v>
      </c>
      <c r="L242" t="str">
        <f>OMAR!J20</f>
        <v>High</v>
      </c>
      <c r="M242" t="str">
        <f>OMAR!K20</f>
        <v>Yes</v>
      </c>
      <c r="N242">
        <f>OMAR!L20</f>
        <v>0</v>
      </c>
      <c r="O242" t="str">
        <f>OMAR!M20</f>
        <v>In Progress</v>
      </c>
      <c r="P242" t="str">
        <f>OMAR!N20</f>
        <v>Resources shared between Botswana and Eswatini</v>
      </c>
    </row>
    <row r="243" spans="1:16" x14ac:dyDescent="0.25">
      <c r="A243" t="str">
        <f>OMAR!$B$1</f>
        <v>OMAR</v>
      </c>
      <c r="B243">
        <f>OMAR!$B$2</f>
        <v>0</v>
      </c>
      <c r="C243" t="str">
        <f>OMAR!A21</f>
        <v>Public Web</v>
      </c>
      <c r="D243" t="str">
        <f>OMAR!B21</f>
        <v>Botswana</v>
      </c>
      <c r="E243" t="str">
        <f>OMAR!C21</f>
        <v>Botswana</v>
      </c>
      <c r="F243" t="str">
        <f>OMAR!D21</f>
        <v>Botswana</v>
      </c>
      <c r="G243" t="str">
        <f>OMAR!E21</f>
        <v xml:space="preserve">Motor claims - Service Journey </v>
      </c>
      <c r="H243" t="str">
        <f>OMAR!F21</f>
        <v>TBC</v>
      </c>
      <c r="I243" t="str">
        <f>OMAR!G21</f>
        <v>TBC</v>
      </c>
      <c r="J243" t="str">
        <f>OMAR!H21</f>
        <v>TBC</v>
      </c>
      <c r="K243">
        <f>OMAR!I21</f>
        <v>0.1</v>
      </c>
      <c r="L243" t="str">
        <f>OMAR!J21</f>
        <v>High</v>
      </c>
      <c r="M243" t="str">
        <f>OMAR!K21</f>
        <v>Yes</v>
      </c>
      <c r="N243">
        <f>OMAR!L21</f>
        <v>0</v>
      </c>
      <c r="O243" t="str">
        <f>OMAR!M21</f>
        <v>In Progress</v>
      </c>
      <c r="P243" t="str">
        <f>OMAR!N21</f>
        <v>Resources shared between Botswana and Eswatini</v>
      </c>
    </row>
    <row r="244" spans="1:16" x14ac:dyDescent="0.25">
      <c r="A244" t="str">
        <f>OMAR!$B$1</f>
        <v>OMAR</v>
      </c>
      <c r="B244">
        <f>OMAR!$B$2</f>
        <v>0</v>
      </c>
      <c r="C244" t="str">
        <f>OMAR!A22</f>
        <v>Public Web</v>
      </c>
      <c r="D244" t="str">
        <f>OMAR!B22</f>
        <v>Botswana</v>
      </c>
      <c r="E244" t="str">
        <f>OMAR!C22</f>
        <v>Botswana</v>
      </c>
      <c r="F244" t="str">
        <f>OMAR!D22</f>
        <v>Botswana</v>
      </c>
      <c r="G244" t="str">
        <f>OMAR!E22</f>
        <v>Home owners claims- Service Journey</v>
      </c>
      <c r="H244" t="str">
        <f>OMAR!F22</f>
        <v>TBC</v>
      </c>
      <c r="I244" t="str">
        <f>OMAR!G22</f>
        <v>TBC</v>
      </c>
      <c r="J244" t="str">
        <f>OMAR!H22</f>
        <v>TBC</v>
      </c>
      <c r="K244">
        <f>OMAR!I22</f>
        <v>0.1</v>
      </c>
      <c r="L244" t="str">
        <f>OMAR!J22</f>
        <v>High</v>
      </c>
      <c r="M244" t="str">
        <f>OMAR!K22</f>
        <v>Yes</v>
      </c>
      <c r="N244">
        <f>OMAR!L22</f>
        <v>0</v>
      </c>
      <c r="O244" t="str">
        <f>OMAR!M22</f>
        <v>Not Started</v>
      </c>
      <c r="P244" t="str">
        <f>OMAR!N22</f>
        <v>Resources shared between Botswana and Eswatini</v>
      </c>
    </row>
    <row r="245" spans="1:16" x14ac:dyDescent="0.25">
      <c r="A245" t="str">
        <f>OMAR!$B$1</f>
        <v>OMAR</v>
      </c>
      <c r="B245">
        <f>OMAR!$B$2</f>
        <v>0</v>
      </c>
      <c r="C245" t="str">
        <f>OMAR!A23</f>
        <v>Public Web</v>
      </c>
      <c r="D245" t="str">
        <f>OMAR!B23</f>
        <v>Botswana</v>
      </c>
      <c r="E245" t="str">
        <f>OMAR!C23</f>
        <v>Botswana</v>
      </c>
      <c r="F245" t="str">
        <f>OMAR!D23</f>
        <v>Botswana</v>
      </c>
      <c r="G245" t="str">
        <f>OMAR!E23</f>
        <v xml:space="preserve">Home content  claims  Service Journey </v>
      </c>
      <c r="H245" t="str">
        <f>OMAR!F23</f>
        <v>TBC</v>
      </c>
      <c r="I245" t="str">
        <f>OMAR!G23</f>
        <v>TBC</v>
      </c>
      <c r="J245" t="str">
        <f>OMAR!H23</f>
        <v>TBC</v>
      </c>
      <c r="K245">
        <f>OMAR!I23</f>
        <v>0.1</v>
      </c>
      <c r="L245" t="str">
        <f>OMAR!J23</f>
        <v>High</v>
      </c>
      <c r="M245" t="str">
        <f>OMAR!K23</f>
        <v>Yes</v>
      </c>
      <c r="N245">
        <f>OMAR!L23</f>
        <v>0</v>
      </c>
      <c r="O245" t="str">
        <f>OMAR!M23</f>
        <v>Not Started</v>
      </c>
      <c r="P245" t="str">
        <f>OMAR!N23</f>
        <v>Resources shared between Botswana and Eswatini</v>
      </c>
    </row>
    <row r="246" spans="1:16" x14ac:dyDescent="0.25">
      <c r="A246" t="str">
        <f>OMAR!$B$1</f>
        <v>OMAR</v>
      </c>
      <c r="B246">
        <f>OMAR!$B$2</f>
        <v>0</v>
      </c>
      <c r="C246" t="str">
        <f>OMAR!A24</f>
        <v>Public Web</v>
      </c>
      <c r="D246" t="str">
        <f>OMAR!B24</f>
        <v>Botswana</v>
      </c>
      <c r="E246" t="str">
        <f>OMAR!C24</f>
        <v>Botswana</v>
      </c>
      <c r="F246" t="str">
        <f>OMAR!D24</f>
        <v>Botswana</v>
      </c>
      <c r="G246" t="str">
        <f>OMAR!E24</f>
        <v xml:space="preserve">Credit  Life </v>
      </c>
      <c r="H246" t="str">
        <f>OMAR!F24</f>
        <v>TBC</v>
      </c>
      <c r="I246" t="str">
        <f>OMAR!G24</f>
        <v>TBC</v>
      </c>
      <c r="J246" t="str">
        <f>OMAR!H24</f>
        <v>TBC</v>
      </c>
      <c r="K246">
        <f>OMAR!I24</f>
        <v>0.1</v>
      </c>
      <c r="L246" t="str">
        <f>OMAR!J24</f>
        <v>High</v>
      </c>
      <c r="M246" t="str">
        <f>OMAR!K24</f>
        <v>Yes</v>
      </c>
      <c r="N246">
        <f>OMAR!L24</f>
        <v>0</v>
      </c>
      <c r="O246" t="str">
        <f>OMAR!M24</f>
        <v>Not Started</v>
      </c>
      <c r="P246" t="str">
        <f>OMAR!N24</f>
        <v>Resources shared between Botswana and Eswatini</v>
      </c>
    </row>
    <row r="247" spans="1:16" x14ac:dyDescent="0.25">
      <c r="A247" t="str">
        <f>OMAR!$B$1</f>
        <v>OMAR</v>
      </c>
      <c r="B247">
        <f>OMAR!$B$2</f>
        <v>0</v>
      </c>
      <c r="C247" t="str">
        <f>OMAR!A25</f>
        <v>Public Web</v>
      </c>
      <c r="D247" t="str">
        <f>OMAR!B25</f>
        <v>Botswana</v>
      </c>
      <c r="E247" t="str">
        <f>OMAR!C25</f>
        <v>Botswana</v>
      </c>
      <c r="F247" t="str">
        <f>OMAR!D25</f>
        <v>Botswana</v>
      </c>
      <c r="G247" t="str">
        <f>OMAR!E25</f>
        <v>Funeral Claims - Sales Journey</v>
      </c>
      <c r="H247" t="str">
        <f>OMAR!F25</f>
        <v>TBC</v>
      </c>
      <c r="I247" t="str">
        <f>OMAR!G25</f>
        <v>TBC</v>
      </c>
      <c r="J247" t="str">
        <f>OMAR!H25</f>
        <v>TBC</v>
      </c>
      <c r="K247">
        <f>OMAR!I25</f>
        <v>0.1</v>
      </c>
      <c r="L247" t="str">
        <f>OMAR!J25</f>
        <v>High</v>
      </c>
      <c r="M247" t="str">
        <f>OMAR!K25</f>
        <v>Yes</v>
      </c>
      <c r="N247">
        <f>OMAR!L25</f>
        <v>0</v>
      </c>
      <c r="O247" t="str">
        <f>OMAR!M25</f>
        <v>Not Started</v>
      </c>
      <c r="P247" t="str">
        <f>OMAR!N25</f>
        <v>Resources shared between Botswana and Eswatini</v>
      </c>
    </row>
    <row r="248" spans="1:16" x14ac:dyDescent="0.25">
      <c r="A248" t="str">
        <f>OMAR!$B$1</f>
        <v>OMAR</v>
      </c>
      <c r="B248">
        <f>OMAR!$B$2</f>
        <v>0</v>
      </c>
      <c r="C248" t="str">
        <f>OMAR!A26</f>
        <v>Public Web</v>
      </c>
      <c r="D248" t="str">
        <f>OMAR!B26</f>
        <v>Botswana</v>
      </c>
      <c r="E248" t="str">
        <f>OMAR!C26</f>
        <v>Botswana</v>
      </c>
      <c r="F248" t="str">
        <f>OMAR!D26</f>
        <v>Botswana</v>
      </c>
      <c r="G248" t="str">
        <f>OMAR!E26</f>
        <v xml:space="preserve">Motor claims - Sales  Journey </v>
      </c>
      <c r="H248" t="str">
        <f>OMAR!F26</f>
        <v>TBC</v>
      </c>
      <c r="I248" t="str">
        <f>OMAR!G26</f>
        <v>TBC</v>
      </c>
      <c r="J248" t="str">
        <f>OMAR!H26</f>
        <v>TBC</v>
      </c>
      <c r="K248">
        <f>OMAR!I26</f>
        <v>0.1</v>
      </c>
      <c r="L248" t="str">
        <f>OMAR!J26</f>
        <v>High</v>
      </c>
      <c r="M248" t="str">
        <f>OMAR!K26</f>
        <v>Yes</v>
      </c>
      <c r="N248">
        <f>OMAR!L26</f>
        <v>0</v>
      </c>
      <c r="O248" t="str">
        <f>OMAR!M26</f>
        <v>Not Started</v>
      </c>
      <c r="P248" t="str">
        <f>OMAR!N26</f>
        <v>Resources shared between Botswana and Eswatini</v>
      </c>
    </row>
    <row r="249" spans="1:16" x14ac:dyDescent="0.25">
      <c r="A249" t="str">
        <f>OMAR!$B$1</f>
        <v>OMAR</v>
      </c>
      <c r="B249">
        <f>OMAR!$B$2</f>
        <v>0</v>
      </c>
      <c r="C249" t="str">
        <f>OMAR!A27</f>
        <v>Public Web</v>
      </c>
      <c r="D249" t="str">
        <f>OMAR!B27</f>
        <v>Botswana</v>
      </c>
      <c r="E249" t="str">
        <f>OMAR!C27</f>
        <v>Botswana</v>
      </c>
      <c r="F249" t="str">
        <f>OMAR!D27</f>
        <v>Botswana</v>
      </c>
      <c r="G249" t="str">
        <f>OMAR!E27</f>
        <v xml:space="preserve">Home owners claims- Sales Journey </v>
      </c>
      <c r="H249" t="str">
        <f>OMAR!F27</f>
        <v>TBC</v>
      </c>
      <c r="I249" t="str">
        <f>OMAR!G27</f>
        <v>TBC</v>
      </c>
      <c r="J249" t="str">
        <f>OMAR!H27</f>
        <v>TBC</v>
      </c>
      <c r="K249">
        <f>OMAR!I27</f>
        <v>0.1</v>
      </c>
      <c r="L249" t="str">
        <f>OMAR!J27</f>
        <v>High</v>
      </c>
      <c r="M249" t="str">
        <f>OMAR!K27</f>
        <v>Yes</v>
      </c>
      <c r="N249">
        <f>OMAR!L27</f>
        <v>0</v>
      </c>
      <c r="O249" t="str">
        <f>OMAR!M27</f>
        <v>Not Started</v>
      </c>
      <c r="P249" t="str">
        <f>OMAR!N27</f>
        <v>Resources shared between Botswana and Eswatini</v>
      </c>
    </row>
    <row r="250" spans="1:16" x14ac:dyDescent="0.25">
      <c r="A250" t="str">
        <f>OMAR!$B$1</f>
        <v>OMAR</v>
      </c>
      <c r="B250">
        <f>OMAR!$B$2</f>
        <v>0</v>
      </c>
      <c r="C250">
        <f>OMAR!A28</f>
        <v>0</v>
      </c>
      <c r="D250">
        <f>OMAR!B28</f>
        <v>0</v>
      </c>
      <c r="E250">
        <f>OMAR!C28</f>
        <v>0</v>
      </c>
      <c r="F250">
        <f>OMAR!D28</f>
        <v>0</v>
      </c>
      <c r="G250">
        <f>OMAR!E28</f>
        <v>0</v>
      </c>
      <c r="H250">
        <f>OMAR!F28</f>
        <v>0</v>
      </c>
      <c r="I250">
        <f>OMAR!G28</f>
        <v>0</v>
      </c>
      <c r="J250">
        <f>OMAR!H28</f>
        <v>0</v>
      </c>
      <c r="K250">
        <f>OMAR!I28</f>
        <v>0</v>
      </c>
      <c r="L250">
        <f>OMAR!J28</f>
        <v>0</v>
      </c>
      <c r="M250">
        <f>OMAR!K28</f>
        <v>0</v>
      </c>
      <c r="N250">
        <f>OMAR!L28</f>
        <v>0</v>
      </c>
      <c r="O250">
        <f>OMAR!M28</f>
        <v>0</v>
      </c>
      <c r="P250">
        <f>OMAR!N28</f>
        <v>0</v>
      </c>
    </row>
    <row r="251" spans="1:16" x14ac:dyDescent="0.25">
      <c r="A251" t="str">
        <f>OMAR!$B$1</f>
        <v>OMAR</v>
      </c>
      <c r="B251">
        <f>OMAR!$B$2</f>
        <v>0</v>
      </c>
      <c r="C251">
        <f>OMAR!A29</f>
        <v>0</v>
      </c>
      <c r="D251">
        <f>OMAR!B29</f>
        <v>0</v>
      </c>
      <c r="E251">
        <f>OMAR!C29</f>
        <v>0</v>
      </c>
      <c r="F251">
        <f>OMAR!D29</f>
        <v>0</v>
      </c>
      <c r="G251">
        <f>OMAR!E29</f>
        <v>0</v>
      </c>
      <c r="H251">
        <f>OMAR!F29</f>
        <v>0</v>
      </c>
      <c r="I251">
        <f>OMAR!G29</f>
        <v>0</v>
      </c>
      <c r="J251">
        <f>OMAR!H29</f>
        <v>0</v>
      </c>
      <c r="K251">
        <f>OMAR!I29</f>
        <v>0</v>
      </c>
      <c r="L251">
        <f>OMAR!J29</f>
        <v>0</v>
      </c>
      <c r="M251">
        <f>OMAR!K29</f>
        <v>0</v>
      </c>
      <c r="N251">
        <f>OMAR!L29</f>
        <v>0</v>
      </c>
      <c r="O251">
        <f>OMAR!M29</f>
        <v>0</v>
      </c>
      <c r="P251">
        <f>OMAR!N29</f>
        <v>0</v>
      </c>
    </row>
    <row r="252" spans="1:16" x14ac:dyDescent="0.25">
      <c r="A252" t="str">
        <f>OMAR!$B$1</f>
        <v>OMAR</v>
      </c>
      <c r="B252">
        <f>OMAR!$B$2</f>
        <v>0</v>
      </c>
      <c r="C252">
        <f>OMAR!A30</f>
        <v>0</v>
      </c>
      <c r="D252">
        <f>OMAR!B30</f>
        <v>0</v>
      </c>
      <c r="E252">
        <f>OMAR!C30</f>
        <v>0</v>
      </c>
      <c r="F252">
        <f>OMAR!D30</f>
        <v>0</v>
      </c>
      <c r="G252">
        <f>OMAR!E30</f>
        <v>0</v>
      </c>
      <c r="H252">
        <f>OMAR!F30</f>
        <v>0</v>
      </c>
      <c r="I252">
        <f>OMAR!G30</f>
        <v>0</v>
      </c>
      <c r="J252">
        <f>OMAR!H30</f>
        <v>0</v>
      </c>
      <c r="K252">
        <f>OMAR!I30</f>
        <v>0</v>
      </c>
      <c r="L252">
        <f>OMAR!J30</f>
        <v>0</v>
      </c>
      <c r="M252">
        <f>OMAR!K30</f>
        <v>0</v>
      </c>
      <c r="N252">
        <f>OMAR!L30</f>
        <v>0</v>
      </c>
      <c r="O252">
        <f>OMAR!M30</f>
        <v>0</v>
      </c>
      <c r="P252">
        <f>OMAR!N30</f>
        <v>0</v>
      </c>
    </row>
    <row r="253" spans="1:16" x14ac:dyDescent="0.25">
      <c r="A253" t="str">
        <f>OMAR!$B$1</f>
        <v>OMAR</v>
      </c>
      <c r="B253">
        <f>OMAR!$B$2</f>
        <v>0</v>
      </c>
      <c r="C253">
        <f>OMAR!A31</f>
        <v>0</v>
      </c>
      <c r="D253">
        <f>OMAR!B31</f>
        <v>0</v>
      </c>
      <c r="E253">
        <f>OMAR!C31</f>
        <v>0</v>
      </c>
      <c r="F253">
        <f>OMAR!D31</f>
        <v>0</v>
      </c>
      <c r="G253">
        <f>OMAR!E31</f>
        <v>0</v>
      </c>
      <c r="H253">
        <f>OMAR!F31</f>
        <v>0</v>
      </c>
      <c r="I253">
        <f>OMAR!G31</f>
        <v>0</v>
      </c>
      <c r="J253">
        <f>OMAR!H31</f>
        <v>0</v>
      </c>
      <c r="K253">
        <f>OMAR!I31</f>
        <v>0</v>
      </c>
      <c r="L253">
        <f>OMAR!J31</f>
        <v>0</v>
      </c>
      <c r="M253">
        <f>OMAR!K31</f>
        <v>0</v>
      </c>
      <c r="N253">
        <f>OMAR!L31</f>
        <v>0</v>
      </c>
      <c r="O253">
        <f>OMAR!M31</f>
        <v>0</v>
      </c>
      <c r="P253">
        <f>OMAR!N31</f>
        <v>0</v>
      </c>
    </row>
    <row r="254" spans="1:16" x14ac:dyDescent="0.25">
      <c r="A254" t="str">
        <f>OMAR!$B$1</f>
        <v>OMAR</v>
      </c>
      <c r="B254">
        <f>OMAR!$B$2</f>
        <v>0</v>
      </c>
      <c r="C254">
        <f>OMAR!A32</f>
        <v>0</v>
      </c>
      <c r="D254">
        <f>OMAR!B32</f>
        <v>0</v>
      </c>
      <c r="E254">
        <f>OMAR!C32</f>
        <v>0</v>
      </c>
      <c r="F254">
        <f>OMAR!D32</f>
        <v>0</v>
      </c>
      <c r="G254">
        <f>OMAR!E32</f>
        <v>0</v>
      </c>
      <c r="H254">
        <f>OMAR!F32</f>
        <v>0</v>
      </c>
      <c r="I254">
        <f>OMAR!G32</f>
        <v>0</v>
      </c>
      <c r="J254">
        <f>OMAR!H32</f>
        <v>0</v>
      </c>
      <c r="K254">
        <f>OMAR!I32</f>
        <v>0</v>
      </c>
      <c r="L254">
        <f>OMAR!J32</f>
        <v>0</v>
      </c>
      <c r="M254">
        <f>OMAR!K32</f>
        <v>0</v>
      </c>
      <c r="N254">
        <f>OMAR!L32</f>
        <v>0</v>
      </c>
      <c r="O254">
        <f>OMAR!M32</f>
        <v>0</v>
      </c>
      <c r="P254">
        <f>OMAR!N32</f>
        <v>0</v>
      </c>
    </row>
    <row r="255" spans="1:16" x14ac:dyDescent="0.25">
      <c r="A255" t="str">
        <f>OMAR!$B$1</f>
        <v>OMAR</v>
      </c>
      <c r="B255">
        <f>OMAR!$B$2</f>
        <v>0</v>
      </c>
      <c r="C255">
        <f>OMAR!A33</f>
        <v>0</v>
      </c>
      <c r="D255">
        <f>OMAR!B33</f>
        <v>0</v>
      </c>
      <c r="E255">
        <f>OMAR!C33</f>
        <v>0</v>
      </c>
      <c r="F255">
        <f>OMAR!D33</f>
        <v>0</v>
      </c>
      <c r="G255">
        <f>OMAR!E33</f>
        <v>0</v>
      </c>
      <c r="H255">
        <f>OMAR!F33</f>
        <v>0</v>
      </c>
      <c r="I255">
        <f>OMAR!G33</f>
        <v>0</v>
      </c>
      <c r="J255">
        <f>OMAR!H33</f>
        <v>0</v>
      </c>
      <c r="K255">
        <f>OMAR!I33</f>
        <v>0</v>
      </c>
      <c r="L255">
        <f>OMAR!J33</f>
        <v>0</v>
      </c>
      <c r="M255">
        <f>OMAR!K33</f>
        <v>0</v>
      </c>
      <c r="N255">
        <f>OMAR!L33</f>
        <v>0</v>
      </c>
      <c r="O255">
        <f>OMAR!M33</f>
        <v>0</v>
      </c>
      <c r="P255">
        <f>OMAR!N33</f>
        <v>0</v>
      </c>
    </row>
    <row r="256" spans="1:16" x14ac:dyDescent="0.25">
      <c r="A256" t="str">
        <f>OMAR!$B$1</f>
        <v>OMAR</v>
      </c>
      <c r="B256">
        <f>OMAR!$B$2</f>
        <v>0</v>
      </c>
      <c r="C256">
        <f>OMAR!A34</f>
        <v>0</v>
      </c>
      <c r="D256">
        <f>OMAR!B34</f>
        <v>0</v>
      </c>
      <c r="E256">
        <f>OMAR!C34</f>
        <v>0</v>
      </c>
      <c r="F256">
        <f>OMAR!D34</f>
        <v>0</v>
      </c>
      <c r="G256">
        <f>OMAR!E34</f>
        <v>0</v>
      </c>
      <c r="H256">
        <f>OMAR!F34</f>
        <v>0</v>
      </c>
      <c r="I256">
        <f>OMAR!G34</f>
        <v>0</v>
      </c>
      <c r="J256">
        <f>OMAR!H34</f>
        <v>0</v>
      </c>
      <c r="K256">
        <f>OMAR!I34</f>
        <v>0</v>
      </c>
      <c r="L256">
        <f>OMAR!J34</f>
        <v>0</v>
      </c>
      <c r="M256">
        <f>OMAR!K34</f>
        <v>0</v>
      </c>
      <c r="N256">
        <f>OMAR!L34</f>
        <v>0</v>
      </c>
      <c r="O256">
        <f>OMAR!M34</f>
        <v>0</v>
      </c>
      <c r="P256">
        <f>OMAR!N34</f>
        <v>0</v>
      </c>
    </row>
    <row r="257" spans="1:16" x14ac:dyDescent="0.25">
      <c r="A257" t="str">
        <f>OMAR!$B$1</f>
        <v>OMAR</v>
      </c>
      <c r="B257">
        <f>OMAR!$B$2</f>
        <v>0</v>
      </c>
      <c r="C257">
        <f>OMAR!A35</f>
        <v>0</v>
      </c>
      <c r="D257">
        <f>OMAR!B35</f>
        <v>0</v>
      </c>
      <c r="E257">
        <f>OMAR!C35</f>
        <v>0</v>
      </c>
      <c r="F257">
        <f>OMAR!D35</f>
        <v>0</v>
      </c>
      <c r="G257">
        <f>OMAR!E35</f>
        <v>0</v>
      </c>
      <c r="H257">
        <f>OMAR!F35</f>
        <v>0</v>
      </c>
      <c r="I257">
        <f>OMAR!G35</f>
        <v>0</v>
      </c>
      <c r="J257">
        <f>OMAR!H35</f>
        <v>0</v>
      </c>
      <c r="K257">
        <f>OMAR!I35</f>
        <v>0</v>
      </c>
      <c r="L257">
        <f>OMAR!J35</f>
        <v>0</v>
      </c>
      <c r="M257">
        <f>OMAR!K35</f>
        <v>0</v>
      </c>
      <c r="N257">
        <f>OMAR!L35</f>
        <v>0</v>
      </c>
      <c r="O257">
        <f>OMAR!M35</f>
        <v>0</v>
      </c>
      <c r="P257">
        <f>OMAR!N35</f>
        <v>0</v>
      </c>
    </row>
    <row r="258" spans="1:16" x14ac:dyDescent="0.25">
      <c r="A258" t="str">
        <f>OMAR!$B$1</f>
        <v>OMAR</v>
      </c>
      <c r="B258">
        <f>OMAR!$B$2</f>
        <v>0</v>
      </c>
      <c r="C258">
        <f>OMAR!A36</f>
        <v>0</v>
      </c>
      <c r="D258">
        <f>OMAR!B36</f>
        <v>0</v>
      </c>
      <c r="E258">
        <f>OMAR!C36</f>
        <v>0</v>
      </c>
      <c r="F258">
        <f>OMAR!D36</f>
        <v>0</v>
      </c>
      <c r="G258">
        <f>OMAR!E36</f>
        <v>0</v>
      </c>
      <c r="H258">
        <f>OMAR!F36</f>
        <v>0</v>
      </c>
      <c r="I258">
        <f>OMAR!G36</f>
        <v>0</v>
      </c>
      <c r="J258">
        <f>OMAR!H36</f>
        <v>0</v>
      </c>
      <c r="K258">
        <f>OMAR!I36</f>
        <v>0</v>
      </c>
      <c r="L258">
        <f>OMAR!J36</f>
        <v>0</v>
      </c>
      <c r="M258">
        <f>OMAR!K36</f>
        <v>0</v>
      </c>
      <c r="N258">
        <f>OMAR!L36</f>
        <v>0</v>
      </c>
      <c r="O258">
        <f>OMAR!M36</f>
        <v>0</v>
      </c>
      <c r="P258">
        <f>OMAR!N36</f>
        <v>0</v>
      </c>
    </row>
    <row r="259" spans="1:16" x14ac:dyDescent="0.25">
      <c r="A259" t="str">
        <f>OMAR!$B$1</f>
        <v>OMAR</v>
      </c>
      <c r="B259">
        <f>OMAR!$B$2</f>
        <v>0</v>
      </c>
      <c r="C259">
        <f>OMAR!A37</f>
        <v>0</v>
      </c>
      <c r="D259">
        <f>OMAR!B37</f>
        <v>0</v>
      </c>
      <c r="E259">
        <f>OMAR!C37</f>
        <v>0</v>
      </c>
      <c r="F259">
        <f>OMAR!D37</f>
        <v>0</v>
      </c>
      <c r="G259">
        <f>OMAR!E37</f>
        <v>0</v>
      </c>
      <c r="H259">
        <f>OMAR!F37</f>
        <v>0</v>
      </c>
      <c r="I259">
        <f>OMAR!G37</f>
        <v>0</v>
      </c>
      <c r="J259">
        <f>OMAR!H37</f>
        <v>0</v>
      </c>
      <c r="K259">
        <f>OMAR!I37</f>
        <v>0</v>
      </c>
      <c r="L259">
        <f>OMAR!J37</f>
        <v>0</v>
      </c>
      <c r="M259">
        <f>OMAR!K37</f>
        <v>0</v>
      </c>
      <c r="N259">
        <f>OMAR!L37</f>
        <v>0</v>
      </c>
      <c r="O259">
        <f>OMAR!M37</f>
        <v>0</v>
      </c>
      <c r="P259">
        <f>OMAR!N37</f>
        <v>0</v>
      </c>
    </row>
    <row r="260" spans="1:16" x14ac:dyDescent="0.25">
      <c r="A260" t="str">
        <f>OMAR!$B$1</f>
        <v>OMAR</v>
      </c>
      <c r="B260">
        <f>OMAR!$B$2</f>
        <v>0</v>
      </c>
      <c r="C260">
        <f>OMAR!A38</f>
        <v>0</v>
      </c>
      <c r="D260">
        <f>OMAR!B38</f>
        <v>0</v>
      </c>
      <c r="E260">
        <f>OMAR!C38</f>
        <v>0</v>
      </c>
      <c r="F260">
        <f>OMAR!D38</f>
        <v>0</v>
      </c>
      <c r="G260">
        <f>OMAR!E38</f>
        <v>0</v>
      </c>
      <c r="H260">
        <f>OMAR!F38</f>
        <v>0</v>
      </c>
      <c r="I260">
        <f>OMAR!G38</f>
        <v>0</v>
      </c>
      <c r="J260">
        <f>OMAR!H38</f>
        <v>0</v>
      </c>
      <c r="K260">
        <f>OMAR!I38</f>
        <v>0</v>
      </c>
      <c r="L260">
        <f>OMAR!J38</f>
        <v>0</v>
      </c>
      <c r="M260">
        <f>OMAR!K38</f>
        <v>0</v>
      </c>
      <c r="N260">
        <f>OMAR!L38</f>
        <v>0</v>
      </c>
      <c r="O260">
        <f>OMAR!M38</f>
        <v>0</v>
      </c>
      <c r="P260">
        <f>OMAR!N38</f>
        <v>0</v>
      </c>
    </row>
    <row r="261" spans="1:16" x14ac:dyDescent="0.25">
      <c r="A261" t="str">
        <f>OMAR!$B$1</f>
        <v>OMAR</v>
      </c>
      <c r="B261">
        <f>OMAR!$B$2</f>
        <v>0</v>
      </c>
      <c r="C261">
        <f>OMAR!A39</f>
        <v>0</v>
      </c>
      <c r="D261">
        <f>OMAR!B39</f>
        <v>0</v>
      </c>
      <c r="E261">
        <f>OMAR!C39</f>
        <v>0</v>
      </c>
      <c r="F261">
        <f>OMAR!D39</f>
        <v>0</v>
      </c>
      <c r="G261">
        <f>OMAR!E39</f>
        <v>0</v>
      </c>
      <c r="H261">
        <f>OMAR!F39</f>
        <v>0</v>
      </c>
      <c r="I261">
        <f>OMAR!G39</f>
        <v>0</v>
      </c>
      <c r="J261">
        <f>OMAR!H39</f>
        <v>0</v>
      </c>
      <c r="K261">
        <f>OMAR!I39</f>
        <v>0</v>
      </c>
      <c r="L261">
        <f>OMAR!J39</f>
        <v>0</v>
      </c>
      <c r="M261">
        <f>OMAR!K39</f>
        <v>0</v>
      </c>
      <c r="N261">
        <f>OMAR!L39</f>
        <v>0</v>
      </c>
      <c r="O261">
        <f>OMAR!M39</f>
        <v>0</v>
      </c>
      <c r="P261">
        <f>OMAR!N39</f>
        <v>0</v>
      </c>
    </row>
    <row r="262" spans="1:16" x14ac:dyDescent="0.25">
      <c r="A262" t="str">
        <f>OMAR!$B$1</f>
        <v>OMAR</v>
      </c>
      <c r="B262">
        <f>OMAR!$B$2</f>
        <v>0</v>
      </c>
      <c r="C262">
        <f>OMAR!A40</f>
        <v>0</v>
      </c>
      <c r="D262">
        <f>OMAR!B40</f>
        <v>0</v>
      </c>
      <c r="E262">
        <f>OMAR!C40</f>
        <v>0</v>
      </c>
      <c r="F262">
        <f>OMAR!D40</f>
        <v>0</v>
      </c>
      <c r="G262">
        <f>OMAR!E40</f>
        <v>0</v>
      </c>
      <c r="H262">
        <f>OMAR!F40</f>
        <v>0</v>
      </c>
      <c r="I262">
        <f>OMAR!G40</f>
        <v>0</v>
      </c>
      <c r="J262">
        <f>OMAR!H40</f>
        <v>0</v>
      </c>
      <c r="K262">
        <f>OMAR!I40</f>
        <v>0</v>
      </c>
      <c r="L262">
        <f>OMAR!J40</f>
        <v>0</v>
      </c>
      <c r="M262">
        <f>OMAR!K40</f>
        <v>0</v>
      </c>
      <c r="N262">
        <f>OMAR!L40</f>
        <v>0</v>
      </c>
      <c r="O262">
        <f>OMAR!M40</f>
        <v>0</v>
      </c>
      <c r="P262">
        <f>OMAR!N40</f>
        <v>0</v>
      </c>
    </row>
    <row r="263" spans="1:16" x14ac:dyDescent="0.25">
      <c r="A263" t="str">
        <f>OMAR!$B$1</f>
        <v>OMAR</v>
      </c>
      <c r="B263">
        <f>OMAR!$B$2</f>
        <v>0</v>
      </c>
      <c r="C263">
        <f>OMAR!A41</f>
        <v>0</v>
      </c>
      <c r="D263">
        <f>OMAR!B41</f>
        <v>0</v>
      </c>
      <c r="E263">
        <f>OMAR!C41</f>
        <v>0</v>
      </c>
      <c r="F263">
        <f>OMAR!D41</f>
        <v>0</v>
      </c>
      <c r="G263">
        <f>OMAR!E41</f>
        <v>0</v>
      </c>
      <c r="H263">
        <f>OMAR!F41</f>
        <v>0</v>
      </c>
      <c r="I263">
        <f>OMAR!G41</f>
        <v>0</v>
      </c>
      <c r="J263">
        <f>OMAR!H41</f>
        <v>0</v>
      </c>
      <c r="K263">
        <f>OMAR!I41</f>
        <v>0</v>
      </c>
      <c r="L263">
        <f>OMAR!J41</f>
        <v>0</v>
      </c>
      <c r="M263">
        <f>OMAR!K41</f>
        <v>0</v>
      </c>
      <c r="N263">
        <f>OMAR!L41</f>
        <v>0</v>
      </c>
      <c r="O263">
        <f>OMAR!M41</f>
        <v>0</v>
      </c>
      <c r="P263">
        <f>OMAR!N41</f>
        <v>0</v>
      </c>
    </row>
    <row r="264" spans="1:16" x14ac:dyDescent="0.25">
      <c r="A264" t="str">
        <f>OMAR!$B$1</f>
        <v>OMAR</v>
      </c>
      <c r="B264">
        <f>OMAR!$B$2</f>
        <v>0</v>
      </c>
      <c r="C264">
        <f>OMAR!A42</f>
        <v>0</v>
      </c>
      <c r="D264">
        <f>OMAR!B42</f>
        <v>0</v>
      </c>
      <c r="E264">
        <f>OMAR!C42</f>
        <v>0</v>
      </c>
      <c r="F264">
        <f>OMAR!D42</f>
        <v>0</v>
      </c>
      <c r="G264">
        <f>OMAR!E42</f>
        <v>0</v>
      </c>
      <c r="H264">
        <f>OMAR!F42</f>
        <v>0</v>
      </c>
      <c r="I264">
        <f>OMAR!G42</f>
        <v>0</v>
      </c>
      <c r="J264">
        <f>OMAR!H42</f>
        <v>0</v>
      </c>
      <c r="K264">
        <f>OMAR!I42</f>
        <v>0</v>
      </c>
      <c r="L264">
        <f>OMAR!J42</f>
        <v>0</v>
      </c>
      <c r="M264">
        <f>OMAR!K42</f>
        <v>0</v>
      </c>
      <c r="N264">
        <f>OMAR!L42</f>
        <v>0</v>
      </c>
      <c r="O264">
        <f>OMAR!M42</f>
        <v>0</v>
      </c>
      <c r="P264">
        <f>OMAR!N42</f>
        <v>0</v>
      </c>
    </row>
    <row r="265" spans="1:16" x14ac:dyDescent="0.25">
      <c r="A265" t="str">
        <f>OMAR!$B$1</f>
        <v>OMAR</v>
      </c>
      <c r="B265">
        <f>OMAR!$B$2</f>
        <v>0</v>
      </c>
      <c r="C265">
        <f>OMAR!A43</f>
        <v>0</v>
      </c>
      <c r="D265">
        <f>OMAR!B43</f>
        <v>0</v>
      </c>
      <c r="E265">
        <f>OMAR!C43</f>
        <v>0</v>
      </c>
      <c r="F265">
        <f>OMAR!D43</f>
        <v>0</v>
      </c>
      <c r="G265">
        <f>OMAR!E43</f>
        <v>0</v>
      </c>
      <c r="H265">
        <f>OMAR!F43</f>
        <v>0</v>
      </c>
      <c r="I265">
        <f>OMAR!G43</f>
        <v>0</v>
      </c>
      <c r="J265">
        <f>OMAR!H43</f>
        <v>0</v>
      </c>
      <c r="K265">
        <f>OMAR!I43</f>
        <v>0</v>
      </c>
      <c r="L265">
        <f>OMAR!J43</f>
        <v>0</v>
      </c>
      <c r="M265">
        <f>OMAR!K43</f>
        <v>0</v>
      </c>
      <c r="N265">
        <f>OMAR!L43</f>
        <v>0</v>
      </c>
      <c r="O265">
        <f>OMAR!M43</f>
        <v>0</v>
      </c>
      <c r="P265">
        <f>OMAR!N43</f>
        <v>0</v>
      </c>
    </row>
    <row r="266" spans="1:16" x14ac:dyDescent="0.25">
      <c r="H266" s="61"/>
      <c r="I266" s="61"/>
    </row>
    <row r="267" spans="1:16" x14ac:dyDescent="0.25">
      <c r="H267" s="61"/>
      <c r="I267" s="61"/>
    </row>
    <row r="268" spans="1:16" x14ac:dyDescent="0.25">
      <c r="H268" s="61"/>
      <c r="I268" s="61"/>
    </row>
    <row r="269" spans="1:16" x14ac:dyDescent="0.25">
      <c r="H269" s="61"/>
      <c r="I269" s="61"/>
    </row>
    <row r="270" spans="1:16" x14ac:dyDescent="0.25">
      <c r="H270" s="61"/>
      <c r="I270" s="61"/>
    </row>
    <row r="271" spans="1:16" x14ac:dyDescent="0.25">
      <c r="H271" s="61"/>
      <c r="I271" s="61"/>
    </row>
    <row r="272" spans="1:16" x14ac:dyDescent="0.25">
      <c r="H272" s="61"/>
      <c r="I272" s="61"/>
    </row>
    <row r="273" spans="8:9" x14ac:dyDescent="0.25">
      <c r="H273" s="61"/>
      <c r="I273" s="61"/>
    </row>
    <row r="274" spans="8:9" x14ac:dyDescent="0.25">
      <c r="H274" s="61"/>
      <c r="I274" s="61"/>
    </row>
    <row r="275" spans="8:9" x14ac:dyDescent="0.25">
      <c r="H275" s="61"/>
      <c r="I275" s="61"/>
    </row>
    <row r="276" spans="8:9" x14ac:dyDescent="0.25">
      <c r="H276" s="61"/>
      <c r="I276" s="61"/>
    </row>
    <row r="277" spans="8:9" x14ac:dyDescent="0.25">
      <c r="H277" s="61"/>
      <c r="I277" s="61"/>
    </row>
    <row r="278" spans="8:9" x14ac:dyDescent="0.25">
      <c r="H278" s="61"/>
      <c r="I278" s="61"/>
    </row>
    <row r="279" spans="8:9" x14ac:dyDescent="0.25">
      <c r="H279" s="61"/>
      <c r="I279" s="61"/>
    </row>
    <row r="280" spans="8:9" x14ac:dyDescent="0.25">
      <c r="H280" s="61"/>
      <c r="I280" s="61"/>
    </row>
    <row r="281" spans="8:9" x14ac:dyDescent="0.25">
      <c r="H281" s="61"/>
      <c r="I281" s="61"/>
    </row>
    <row r="282" spans="8:9" x14ac:dyDescent="0.25">
      <c r="H282" s="61"/>
      <c r="I282" s="61"/>
    </row>
    <row r="283" spans="8:9" x14ac:dyDescent="0.25">
      <c r="H283" s="61"/>
      <c r="I283" s="61"/>
    </row>
    <row r="284" spans="8:9" x14ac:dyDescent="0.25">
      <c r="H284" s="61"/>
      <c r="I284" s="61"/>
    </row>
    <row r="285" spans="8:9" x14ac:dyDescent="0.25">
      <c r="H285" s="61"/>
      <c r="I285" s="61"/>
    </row>
    <row r="286" spans="8:9" x14ac:dyDescent="0.25">
      <c r="H286" s="61"/>
      <c r="I286" s="61"/>
    </row>
    <row r="287" spans="8:9" x14ac:dyDescent="0.25">
      <c r="H287" s="61"/>
      <c r="I287" s="61"/>
    </row>
    <row r="288" spans="8:9" x14ac:dyDescent="0.25">
      <c r="H288" s="61"/>
      <c r="I288" s="61"/>
    </row>
    <row r="289" spans="8:9" x14ac:dyDescent="0.25">
      <c r="H289" s="61"/>
      <c r="I289" s="61"/>
    </row>
    <row r="290" spans="8:9" x14ac:dyDescent="0.25">
      <c r="H290" s="61"/>
      <c r="I290" s="61"/>
    </row>
    <row r="291" spans="8:9" x14ac:dyDescent="0.25">
      <c r="H291" s="61"/>
      <c r="I291" s="61"/>
    </row>
    <row r="292" spans="8:9" x14ac:dyDescent="0.25">
      <c r="H292" s="61"/>
      <c r="I292" s="61"/>
    </row>
    <row r="293" spans="8:9" x14ac:dyDescent="0.25">
      <c r="H293" s="61"/>
      <c r="I293" s="61"/>
    </row>
    <row r="294" spans="8:9" x14ac:dyDescent="0.25">
      <c r="H294" s="61"/>
      <c r="I294" s="61"/>
    </row>
    <row r="295" spans="8:9" x14ac:dyDescent="0.25">
      <c r="H295" s="61"/>
      <c r="I295" s="61"/>
    </row>
    <row r="296" spans="8:9" x14ac:dyDescent="0.25">
      <c r="H296" s="61"/>
      <c r="I296" s="61"/>
    </row>
    <row r="297" spans="8:9" x14ac:dyDescent="0.25">
      <c r="H297" s="61"/>
      <c r="I297" s="61"/>
    </row>
    <row r="298" spans="8:9" x14ac:dyDescent="0.25">
      <c r="H298" s="61"/>
      <c r="I298" s="61"/>
    </row>
    <row r="299" spans="8:9" x14ac:dyDescent="0.25">
      <c r="H299" s="61"/>
      <c r="I299" s="61"/>
    </row>
    <row r="300" spans="8:9" x14ac:dyDescent="0.25">
      <c r="H300" s="61"/>
      <c r="I300" s="61"/>
    </row>
    <row r="301" spans="8:9" x14ac:dyDescent="0.25">
      <c r="H301" s="61"/>
      <c r="I301" s="61"/>
    </row>
    <row r="302" spans="8:9" x14ac:dyDescent="0.25">
      <c r="H302" s="61"/>
      <c r="I302" s="61"/>
    </row>
    <row r="303" spans="8:9" x14ac:dyDescent="0.25">
      <c r="H303" s="61"/>
      <c r="I303" s="61"/>
    </row>
    <row r="304" spans="8:9" x14ac:dyDescent="0.25">
      <c r="H304" s="61"/>
      <c r="I304" s="61"/>
    </row>
    <row r="305" spans="8:9" x14ac:dyDescent="0.25">
      <c r="H305" s="61"/>
      <c r="I305" s="61"/>
    </row>
    <row r="306" spans="8:9" x14ac:dyDescent="0.25">
      <c r="H306" s="61"/>
      <c r="I306" s="61"/>
    </row>
    <row r="307" spans="8:9" x14ac:dyDescent="0.25">
      <c r="H307" s="61"/>
      <c r="I307" s="61"/>
    </row>
    <row r="308" spans="8:9" x14ac:dyDescent="0.25">
      <c r="H308" s="61"/>
      <c r="I308" s="61"/>
    </row>
    <row r="309" spans="8:9" x14ac:dyDescent="0.25">
      <c r="H309" s="61"/>
      <c r="I309" s="61"/>
    </row>
    <row r="310" spans="8:9" x14ac:dyDescent="0.25">
      <c r="H310" s="61"/>
      <c r="I310" s="61"/>
    </row>
    <row r="311" spans="8:9" x14ac:dyDescent="0.25">
      <c r="H311" s="61"/>
      <c r="I311" s="61"/>
    </row>
    <row r="312" spans="8:9" x14ac:dyDescent="0.25">
      <c r="H312" s="61"/>
      <c r="I312" s="61"/>
    </row>
    <row r="313" spans="8:9" x14ac:dyDescent="0.25">
      <c r="H313" s="61"/>
      <c r="I313" s="61"/>
    </row>
    <row r="314" spans="8:9" ht="15" x14ac:dyDescent="0.25">
      <c r="H314" s="61"/>
      <c r="I314" s="61"/>
    </row>
    <row r="315" spans="8:9" x14ac:dyDescent="0.25">
      <c r="H315" s="61"/>
      <c r="I315" s="61"/>
    </row>
    <row r="316" spans="8:9" x14ac:dyDescent="0.25">
      <c r="H316" s="61"/>
      <c r="I316" s="61"/>
    </row>
    <row r="317" spans="8:9" x14ac:dyDescent="0.25">
      <c r="H317" s="61"/>
      <c r="I317" s="61"/>
    </row>
    <row r="318" spans="8:9" x14ac:dyDescent="0.25">
      <c r="H318" s="61"/>
      <c r="I318" s="61"/>
    </row>
    <row r="319" spans="8:9" x14ac:dyDescent="0.25">
      <c r="H319" s="61"/>
      <c r="I319" s="61"/>
    </row>
    <row r="320" spans="8:9" x14ac:dyDescent="0.25">
      <c r="H320" s="61"/>
      <c r="I320" s="61"/>
    </row>
    <row r="321" spans="8:9" x14ac:dyDescent="0.25">
      <c r="H321" s="61"/>
      <c r="I321" s="61"/>
    </row>
    <row r="322" spans="8:9" x14ac:dyDescent="0.25">
      <c r="H322" s="61"/>
      <c r="I322" s="61"/>
    </row>
    <row r="323" spans="8:9" x14ac:dyDescent="0.25">
      <c r="H323" s="61"/>
      <c r="I323" s="61"/>
    </row>
    <row r="324" spans="8:9" ht="15" x14ac:dyDescent="0.25">
      <c r="H324" s="61"/>
      <c r="I324" s="61"/>
    </row>
    <row r="325" spans="8:9" x14ac:dyDescent="0.25">
      <c r="H325" s="61"/>
      <c r="I325" s="61"/>
    </row>
    <row r="326" spans="8:9" x14ac:dyDescent="0.25">
      <c r="H326" s="61"/>
      <c r="I326" s="61"/>
    </row>
    <row r="327" spans="8:9" x14ac:dyDescent="0.25">
      <c r="H327" s="61"/>
      <c r="I327" s="6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95664-8C1D-4E26-92EB-F4523C416464}">
  <dimension ref="A3:A14"/>
  <sheetViews>
    <sheetView workbookViewId="0"/>
  </sheetViews>
  <sheetFormatPr defaultRowHeight="14.45" x14ac:dyDescent="0.25"/>
  <cols>
    <col min="1" max="1" width="20.5703125" bestFit="1" customWidth="1"/>
  </cols>
  <sheetData>
    <row r="3" spans="1:1" x14ac:dyDescent="0.25">
      <c r="A3" t="s">
        <v>205</v>
      </c>
    </row>
    <row r="4" spans="1:1" x14ac:dyDescent="0.25">
      <c r="A4" s="62" t="s">
        <v>18</v>
      </c>
    </row>
    <row r="5" spans="1:1" x14ac:dyDescent="0.25">
      <c r="A5" s="62" t="s">
        <v>17</v>
      </c>
    </row>
    <row r="6" spans="1:1" x14ac:dyDescent="0.25">
      <c r="A6" s="62" t="s">
        <v>0</v>
      </c>
    </row>
    <row r="7" spans="1:1" x14ac:dyDescent="0.25">
      <c r="A7" s="62" t="s">
        <v>20</v>
      </c>
    </row>
    <row r="8" spans="1:1" x14ac:dyDescent="0.25">
      <c r="A8" s="62" t="s">
        <v>19</v>
      </c>
    </row>
    <row r="9" spans="1:1" x14ac:dyDescent="0.25">
      <c r="A9" s="62" t="s">
        <v>23</v>
      </c>
    </row>
    <row r="10" spans="1:1" x14ac:dyDescent="0.25">
      <c r="A10" s="62" t="s">
        <v>21</v>
      </c>
    </row>
    <row r="11" spans="1:1" x14ac:dyDescent="0.25">
      <c r="A11" s="62" t="s">
        <v>206</v>
      </c>
    </row>
    <row r="12" spans="1:1" x14ac:dyDescent="0.25">
      <c r="A12" s="62" t="s">
        <v>22</v>
      </c>
    </row>
    <row r="13" spans="1:1" x14ac:dyDescent="0.25">
      <c r="A13" s="62" t="s">
        <v>207</v>
      </c>
    </row>
    <row r="14" spans="1:1" x14ac:dyDescent="0.25">
      <c r="A14" s="62"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Design Standards</vt:lpstr>
      <vt:lpstr>Design Delivery</vt:lpstr>
      <vt:lpstr>Content Readiness</vt:lpstr>
      <vt:lpstr>Feature Delivery</vt:lpstr>
      <vt:lpstr>Design Systems</vt:lpstr>
      <vt:lpstr>Execution </vt:lpstr>
      <vt:lpstr>Publishing</vt:lpstr>
      <vt:lpstr>Go-Live Readiness</vt:lpstr>
      <vt:lpstr> SEO Analytics </vt:lpstr>
      <vt:lpstr>OMAR</vt:lpstr>
      <vt:lpstr>Sheet1</vt:lpstr>
      <vt:lpstr>Cons_List</vt:lpstr>
      <vt:lpstr>Piv</vt:lpstr>
    </vt:vector>
  </TitlesOfParts>
  <Manager/>
  <Company>Old Mutual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Bertus Goosen</dc:creator>
  <cp:keywords/>
  <dc:description/>
  <cp:lastModifiedBy>Gareth Bew</cp:lastModifiedBy>
  <cp:revision/>
  <dcterms:created xsi:type="dcterms:W3CDTF">2026-06-03T09:27:59Z</dcterms:created>
  <dcterms:modified xsi:type="dcterms:W3CDTF">2026-06-08T14:22:18Z</dcterms:modified>
  <cp:category/>
  <cp:contentStatus/>
</cp:coreProperties>
</file>